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0D589A79-60A3-4EAD-AD5D-3AC7F4ED126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Ordem de Compra" sheetId="4" r:id="rId1"/>
    <sheet name="Familia" sheetId="8" state="hidden" r:id="rId2"/>
    <sheet name="Produtos" sheetId="20" state="hidden" r:id="rId3"/>
    <sheet name="Fornecedores " sheetId="16" state="hidden" r:id="rId4"/>
  </sheets>
  <definedNames>
    <definedName name="_xlnm._FilterDatabase">Familia!$B$2:$D$2</definedName>
    <definedName name="BARUERI">Familia!$F$3:$F$5</definedName>
    <definedName name="DadosExternos_2">'Fornecedores '!$A$1:$O$89</definedName>
    <definedName name="ES">Familia!$D$3:$D$16</definedName>
    <definedName name="HW">Familia!$I$3</definedName>
    <definedName name="INTERATELL">'Ordem de Compra'!$V$9:$AJ$10</definedName>
    <definedName name="LIC">Familia!$K$3</definedName>
    <definedName name="NATUREZAES">Familia!$G$3</definedName>
    <definedName name="NATUREZASP">Familia!$F$3:$F$5</definedName>
    <definedName name="Produtos_Pasta">Produtos!$A$2:$I$481</definedName>
    <definedName name="SERRA">Familia!$G$3</definedName>
    <definedName name="SP">Familia!$B$3:$B$43</definedName>
    <definedName name="SW">Familia!$J$3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K2" authorId="0" shapeId="0" xr:uid="{00000000-0006-0000-0000-000001000000}">
      <text>
        <r>
          <rPr>
            <sz val="10"/>
            <rFont val="Arial"/>
            <family val="2"/>
          </rPr>
          <t>EXEMPLO PREENCHIMENTO &gt;&gt;&gt;  2023.340</t>
        </r>
      </text>
    </comment>
    <comment ref="K3" authorId="0" shapeId="0" xr:uid="{00000000-0006-0000-0000-000002000000}">
      <text>
        <r>
          <rPr>
            <sz val="10"/>
            <rFont val="Arial"/>
            <family val="2"/>
          </rPr>
          <t>EXEMPLO PREENCHIMENTO &gt;&gt;&gt;  11/07/23</t>
        </r>
      </text>
    </comment>
    <comment ref="K4" authorId="0" shapeId="0" xr:uid="{00000000-0006-0000-0000-000003000000}">
      <text>
        <r>
          <rPr>
            <sz val="10"/>
            <rFont val="Arial"/>
            <family val="2"/>
          </rPr>
          <t>EXEMPLO PREENCHIMENTO &gt;&gt;&gt;  11/07/23</t>
        </r>
      </text>
    </comment>
    <comment ref="O4" authorId="0" shapeId="0" xr:uid="{00000000-0006-0000-0000-000004000000}">
      <text>
        <r>
          <rPr>
            <sz val="10"/>
            <rFont val="Arial"/>
            <family val="2"/>
          </rPr>
          <t>EXEMPLO PREENCHIMENTO &gt;&gt;&gt;  11/07/23</t>
        </r>
      </text>
    </comment>
    <comment ref="K6" authorId="0" shapeId="0" xr:uid="{00000000-0006-0000-0000-000005000000}">
      <text>
        <r>
          <rPr>
            <sz val="10"/>
            <rFont val="Arial"/>
            <family val="2"/>
          </rPr>
          <t>SELECIONE A OPÇÃO</t>
        </r>
      </text>
    </comment>
    <comment ref="O6" authorId="0" shapeId="0" xr:uid="{00000000-0006-0000-0000-000006000000}">
      <text>
        <r>
          <rPr>
            <sz val="10"/>
            <rFont val="Arial"/>
            <family val="2"/>
          </rPr>
          <t>SELECIONE A OPÇÃO</t>
        </r>
      </text>
    </comment>
    <comment ref="H11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OBRIGATÓRIO PREENCHER</t>
        </r>
      </text>
    </comment>
    <comment ref="H12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OBRIGATÓRIO PREENCHER</t>
        </r>
      </text>
    </comment>
    <comment ref="H13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OBRIGATÓRIO PREENCHER</t>
        </r>
      </text>
    </comment>
    <comment ref="H14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OBRIGATÓRIO PREENCHER</t>
        </r>
      </text>
    </comment>
    <comment ref="A16" authorId="0" shapeId="0" xr:uid="{00000000-0006-0000-0000-00000B000000}">
      <text>
        <r>
          <rPr>
            <sz val="10"/>
            <rFont val="Arial"/>
            <family val="2"/>
          </rPr>
          <t>OBRIGATÓRIO PREENCHER</t>
        </r>
      </text>
    </comment>
    <comment ref="I16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PARA INCLUIR OUTRA LINHA ABAIXO.
PRESSIONE ( ALT + ENTER )</t>
        </r>
      </text>
    </comment>
    <comment ref="E18" authorId="0" shapeId="0" xr:uid="{00000000-0006-0000-0000-00000D000000}">
      <text>
        <r>
          <rPr>
            <sz val="10"/>
            <rFont val="Arial"/>
            <family val="2"/>
          </rPr>
          <t>OBRIGATÓRIO PREENCHER</t>
        </r>
      </text>
    </comment>
    <comment ref="H18" authorId="0" shapeId="0" xr:uid="{00000000-0006-0000-0000-00000E000000}">
      <text>
        <r>
          <rPr>
            <sz val="10"/>
            <rFont val="Arial"/>
            <family val="2"/>
          </rPr>
          <t>Obrigatório preenchimento do ( I.E ) caso for "contribuinte"</t>
        </r>
      </text>
    </comment>
    <comment ref="H19" authorId="0" shapeId="0" xr:uid="{00000000-0006-0000-0000-00000F000000}">
      <text>
        <r>
          <rPr>
            <sz val="10"/>
            <rFont val="Arial"/>
            <family val="2"/>
          </rPr>
          <t>OBRIGATÓRIO PREENCHER</t>
        </r>
      </text>
    </comment>
    <comment ref="E20" authorId="0" shapeId="0" xr:uid="{00000000-0006-0000-0000-000010000000}">
      <text>
        <r>
          <rPr>
            <sz val="10"/>
            <rFont val="Arial"/>
            <family val="2"/>
          </rPr>
          <t>OBRIGATÓRIO PREENCHER</t>
        </r>
      </text>
    </comment>
    <comment ref="H20" authorId="0" shapeId="0" xr:uid="{00000000-0006-0000-0000-000011000000}">
      <text>
        <r>
          <rPr>
            <sz val="10"/>
            <rFont val="Arial"/>
            <family val="2"/>
          </rPr>
          <t>OBRIGATÓRIO PREENCHER</t>
        </r>
      </text>
    </comment>
    <comment ref="H21" authorId="0" shapeId="0" xr:uid="{00000000-0006-0000-0000-000012000000}">
      <text>
        <r>
          <rPr>
            <sz val="10"/>
            <rFont val="Arial"/>
            <family val="2"/>
          </rPr>
          <t>OBRIGATÓRIO PREENCHER</t>
        </r>
      </text>
    </comment>
    <comment ref="C22" authorId="0" shapeId="0" xr:uid="{00000000-0006-0000-0000-000013000000}">
      <text>
        <r>
          <rPr>
            <sz val="10"/>
            <rFont val="Arial"/>
            <family val="2"/>
          </rPr>
          <t>OBRIGATÓRIO PREENCHER</t>
        </r>
      </text>
    </comment>
    <comment ref="H22" authorId="0" shapeId="0" xr:uid="{00000000-0006-0000-0000-000014000000}">
      <text>
        <r>
          <rPr>
            <sz val="10"/>
            <rFont val="Arial"/>
            <family val="2"/>
          </rPr>
          <t>OBRIGATÓRIO PREENCHER</t>
        </r>
      </text>
    </comment>
    <comment ref="I22" authorId="0" shapeId="0" xr:uid="{00000000-0006-0000-0000-000015000000}">
      <text>
        <r>
          <rPr>
            <b/>
            <sz val="9"/>
            <color indexed="81"/>
            <rFont val="Segoe UI"/>
            <family val="2"/>
          </rPr>
          <t>PARA INCLUIR OUTRA LINHA ABAIXO.
PRESSIONE ( ALT + ENTER )</t>
        </r>
      </text>
    </comment>
    <comment ref="C23" authorId="0" shapeId="0" xr:uid="{00000000-0006-0000-0000-000016000000}">
      <text>
        <r>
          <rPr>
            <sz val="10"/>
            <rFont val="Arial"/>
            <family val="2"/>
          </rPr>
          <t>OBRIGATÓRIO PREENCHER</t>
        </r>
      </text>
    </comment>
    <comment ref="G29" authorId="0" shapeId="0" xr:uid="{00000000-0006-0000-0000-000017000000}">
      <text>
        <r>
          <rPr>
            <b/>
            <sz val="9"/>
            <color indexed="81"/>
            <rFont val="Segoe UI"/>
            <family val="2"/>
          </rPr>
          <t>SELECIONE A OPÇÃO</t>
        </r>
      </text>
    </comment>
    <comment ref="H29" authorId="0" shapeId="0" xr:uid="{00000000-0006-0000-0000-000018000000}">
      <text>
        <r>
          <rPr>
            <b/>
            <sz val="9"/>
            <color indexed="81"/>
            <rFont val="Segoe UI"/>
            <family val="2"/>
          </rPr>
          <t>SELECIONE A OPÇÃO</t>
        </r>
      </text>
    </comment>
    <comment ref="I29" authorId="0" shapeId="0" xr:uid="{00000000-0006-0000-0000-000019000000}">
      <text>
        <r>
          <rPr>
            <b/>
            <sz val="9"/>
            <color indexed="81"/>
            <rFont val="Segoe UI"/>
            <family val="2"/>
          </rPr>
          <t>SELECIONE A OPÇÃO</t>
        </r>
      </text>
    </comment>
    <comment ref="J29" authorId="0" shapeId="0" xr:uid="{00000000-0006-0000-0000-00001A000000}">
      <text>
        <r>
          <rPr>
            <b/>
            <sz val="9"/>
            <color indexed="81"/>
            <rFont val="Segoe UI"/>
            <family val="2"/>
          </rPr>
          <t>SELECIONE A OPÇÃO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9" authorId="0" shapeId="0" xr:uid="{00000000-0006-0000-0000-00001B000000}">
      <text>
        <r>
          <rPr>
            <b/>
            <sz val="9"/>
            <color indexed="81"/>
            <rFont val="Segoe UI"/>
            <family val="2"/>
          </rPr>
          <t>SELECIONE A OPÇÃO</t>
        </r>
      </text>
    </comment>
  </commentList>
</comments>
</file>

<file path=xl/sharedStrings.xml><?xml version="1.0" encoding="utf-8"?>
<sst xmlns="http://schemas.openxmlformats.org/spreadsheetml/2006/main" count="1551" uniqueCount="1140">
  <si>
    <t>Proposta Comercial</t>
  </si>
  <si>
    <t>2026.12419</t>
  </si>
  <si>
    <t>Data da Criação OC:</t>
  </si>
  <si>
    <t>Data Prazo de Entrega:</t>
  </si>
  <si>
    <t>Data Previsão de Fat:</t>
  </si>
  <si>
    <t xml:space="preserve"> </t>
  </si>
  <si>
    <t>Condição de Pag Compra:</t>
  </si>
  <si>
    <t>A60 - Para 60 Dias</t>
  </si>
  <si>
    <t>Condição de Pag Venda:</t>
  </si>
  <si>
    <t>A28 - Para 28 Dias</t>
  </si>
  <si>
    <t>Versão: OC_JUN_25</t>
  </si>
  <si>
    <t>DISTRIBUIDOR / FORNECEDOR</t>
  </si>
  <si>
    <t xml:space="preserve">INTERATELL </t>
  </si>
  <si>
    <t>INTERATELL - Coluna 1</t>
  </si>
  <si>
    <t>CNPJ - Coluna 2</t>
  </si>
  <si>
    <t>I.E - Coluna 3</t>
  </si>
  <si>
    <t>Email - Coluna 4</t>
  </si>
  <si>
    <t>Contato - Coluna 5</t>
  </si>
  <si>
    <t>Telefone 1 - Coluna 6</t>
  </si>
  <si>
    <t>Telefone 2 - Coluna 7</t>
  </si>
  <si>
    <t>Endereço - Coluna 8</t>
  </si>
  <si>
    <t>Número - Coluna 9</t>
  </si>
  <si>
    <t>Complemento - Coluna 10</t>
  </si>
  <si>
    <t>Bairro - Coluna 11</t>
  </si>
  <si>
    <t>Cidade - Coluna 12</t>
  </si>
  <si>
    <t>Estado - Coluna 13</t>
  </si>
  <si>
    <t>NATUREZA - Coluna 14</t>
  </si>
  <si>
    <t>CEP - Coluna 15</t>
  </si>
  <si>
    <t>FORMULA PROCV</t>
  </si>
  <si>
    <t>AGIS EQUIPAMENTOS E SERVICOS DE INFORMATICA LTDA - ES - 2</t>
  </si>
  <si>
    <t>CNPJ:</t>
  </si>
  <si>
    <t>68.993.641/0008-02</t>
  </si>
  <si>
    <t>BARUERI</t>
  </si>
  <si>
    <t>03969530000130</t>
  </si>
  <si>
    <t>PARCELAS</t>
  </si>
  <si>
    <t xml:space="preserve">INTERATELL INTEGRAÇÕES E TELECOMUNICAÇÕES LTDA – BARUERI </t>
  </si>
  <si>
    <t>03.969.530/0001-30</t>
  </si>
  <si>
    <t>206.122.484.113</t>
  </si>
  <si>
    <t>financeiro@interatell.com.br</t>
  </si>
  <si>
    <t>Gabriella Amaro</t>
  </si>
  <si>
    <t>(11) 3303-3324</t>
  </si>
  <si>
    <t>Avenida Copacabana</t>
  </si>
  <si>
    <t>Andar 2 Conj. 201</t>
  </si>
  <si>
    <t>Empresarial 18 Do Forte</t>
  </si>
  <si>
    <t>Barueri</t>
  </si>
  <si>
    <t>SP</t>
  </si>
  <si>
    <t>06.472-001</t>
  </si>
  <si>
    <t/>
  </si>
  <si>
    <t>CEP:</t>
  </si>
  <si>
    <t>29167650</t>
  </si>
  <si>
    <t>I.E:</t>
  </si>
  <si>
    <t>83005323</t>
  </si>
  <si>
    <t>06472001</t>
  </si>
  <si>
    <t>COMPRA</t>
  </si>
  <si>
    <t>VENDA</t>
  </si>
  <si>
    <t>INTERATELL INTEGRACOES E TELECOMUNICACOES LTDA- ES</t>
  </si>
  <si>
    <t>03.969.530/0002-11</t>
  </si>
  <si>
    <t>084.000.44-9</t>
  </si>
  <si>
    <t>Rua Porto Alegre</t>
  </si>
  <si>
    <t>G.02 MOD02B</t>
  </si>
  <si>
    <t>Nova Zelândia</t>
  </si>
  <si>
    <t>Serra ES</t>
  </si>
  <si>
    <t>ES</t>
  </si>
  <si>
    <t xml:space="preserve">SERRA </t>
  </si>
  <si>
    <t>29.175-706</t>
  </si>
  <si>
    <t>Cidade:</t>
  </si>
  <si>
    <t>SERRA</t>
  </si>
  <si>
    <t>Estado:</t>
  </si>
  <si>
    <t>Contato:</t>
  </si>
  <si>
    <t>Rafael Muroni</t>
  </si>
  <si>
    <t>Bairro:</t>
  </si>
  <si>
    <t>TAQUARA II</t>
  </si>
  <si>
    <t>Telefone:</t>
  </si>
  <si>
    <t>1937564658</t>
  </si>
  <si>
    <t>A30 - Para 30 Dias</t>
  </si>
  <si>
    <t>T54 - Para 30 Dias</t>
  </si>
  <si>
    <t>Endereço:</t>
  </si>
  <si>
    <t>Rua SAMUEL MEIRA BRASIL</t>
  </si>
  <si>
    <t>Número:</t>
  </si>
  <si>
    <t>394</t>
  </si>
  <si>
    <t>11 99790-5616</t>
  </si>
  <si>
    <t>190</t>
  </si>
  <si>
    <t>A45 - Para 45 Dias</t>
  </si>
  <si>
    <t>Complemento:</t>
  </si>
  <si>
    <t>SALA 18</t>
  </si>
  <si>
    <t>E-mail:</t>
  </si>
  <si>
    <t>rafael.muroni@agis.com.br</t>
  </si>
  <si>
    <t>Empresarial Dezoito do Forte</t>
  </si>
  <si>
    <t>CLIENTE FINAL</t>
  </si>
  <si>
    <t>OBSERVAÇÃO DO COMPRADOR</t>
  </si>
  <si>
    <t>A74 - Para 75 Dias</t>
  </si>
  <si>
    <t>SAKATA SEED SUDAMERICA LTDA</t>
  </si>
  <si>
    <t>62.196.167/0001-27</t>
  </si>
  <si>
    <t>QUALQUER FATURAMENTO DEVE SER REALIZADO SOMENTE APÓS AUTORIZAÇÃO FORMAL DE GAMARO@INTERATELL.COM.BR OU DOLIVEIRA@INTERATELL.COM.BR
NÃO FATURAR APÓS DIA 25 DE CADA MÊS (DATA DE CORTE)
ENVIAR NOTAS E BOLETOS PARA O EMAIL: FINANCEIRO@INTERATELL.COM.BR
PRAZO DE PAGAMENTO EM 60 DIAS</t>
  </si>
  <si>
    <t>A90 - Para 90 Dias</t>
  </si>
  <si>
    <t xml:space="preserve">CEP: </t>
  </si>
  <si>
    <t>12900005</t>
  </si>
  <si>
    <t>Contribuinte:</t>
  </si>
  <si>
    <t>NÃO</t>
  </si>
  <si>
    <t>B20 - Para 120 Dias</t>
  </si>
  <si>
    <t>BRAGANCA PAULISTA</t>
  </si>
  <si>
    <t>225.105.651.119</t>
  </si>
  <si>
    <t>B50 - Para 150 Dias</t>
  </si>
  <si>
    <t>UBERABA</t>
  </si>
  <si>
    <t>Isabela Nascimento</t>
  </si>
  <si>
    <t>S07 - 30/45/60 Dias</t>
  </si>
  <si>
    <t>S23 - 30/45/60 Dias</t>
  </si>
  <si>
    <t>AV DR. PLINIO SALGADO</t>
  </si>
  <si>
    <t>4320</t>
  </si>
  <si>
    <t>11992624987</t>
  </si>
  <si>
    <t>S30 - 30/60/90 Dias</t>
  </si>
  <si>
    <t>S18 - 30/60/90 Dias</t>
  </si>
  <si>
    <t>-</t>
  </si>
  <si>
    <t>OBSERVAÇÃO INTERNA</t>
  </si>
  <si>
    <t>S53 - Para 30/60/90/120</t>
  </si>
  <si>
    <t>S25 - Para 30/60/90/120</t>
  </si>
  <si>
    <t>P.O :</t>
  </si>
  <si>
    <t>OC0034359 - HW / OC0034358 - Software e Serviços</t>
  </si>
  <si>
    <t>Email:</t>
  </si>
  <si>
    <t>isabela.nascimento@sakata.com.br</t>
  </si>
  <si>
    <t>Segue a ordem de compra do Hardware: OC0034359
Segue a ordem de compra do Software e Serviços: OC0034358 
Boleto para 28DDL, devendo cair em uma quarta-feira.
O cliente aceita notas fiscais emitidas e materiais entregues até o dia 25 de cada mês. Após essa data, somente no primeiro dia útil do mês subsequente.</t>
  </si>
  <si>
    <t>S75 - Para 1/30/60/90</t>
  </si>
  <si>
    <t>P66 - Para 1/30/60/90</t>
  </si>
  <si>
    <t xml:space="preserve">Gerente de Contas : </t>
  </si>
  <si>
    <t xml:space="preserve">RENATO FERRARO </t>
  </si>
  <si>
    <t>000 - Para A Vista</t>
  </si>
  <si>
    <t>001 - Para 1 parcelas</t>
  </si>
  <si>
    <t>001 - Para 1 parcelas;</t>
  </si>
  <si>
    <t>002 - Para 2 parcelas</t>
  </si>
  <si>
    <t>003 - Para 3 parcelas</t>
  </si>
  <si>
    <t>004 - Para 4 parcelas</t>
  </si>
  <si>
    <t>CUSTO TOTAL</t>
  </si>
  <si>
    <t>VENDA TOTAL</t>
  </si>
  <si>
    <t>005 - Para 5 parcelas</t>
  </si>
  <si>
    <t>ITEM</t>
  </si>
  <si>
    <t>Descrição do Produto</t>
  </si>
  <si>
    <t>LOCAL DO ESTOQUE</t>
  </si>
  <si>
    <t>CFOP</t>
  </si>
  <si>
    <t>NATUREZA</t>
  </si>
  <si>
    <t>FAMILIA</t>
  </si>
  <si>
    <t>NCM</t>
  </si>
  <si>
    <t>QTE</t>
  </si>
  <si>
    <t>Unitário (R$)</t>
  </si>
  <si>
    <t>Total (R$)</t>
  </si>
  <si>
    <t>006 - Para 6 parcelas</t>
  </si>
  <si>
    <t>ARU-SVT-0001</t>
  </si>
  <si>
    <t>Aruba 3Y FC NBD Exch HW AP-505 SVC</t>
  </si>
  <si>
    <t>5104</t>
  </si>
  <si>
    <t>ST</t>
  </si>
  <si>
    <t>2164790403</t>
  </si>
  <si>
    <t>0000.00.00</t>
  </si>
  <si>
    <t>ARU-LIC-0001</t>
  </si>
  <si>
    <t>Aruba Central AP Fnd 3yr Sub E-STU</t>
  </si>
  <si>
    <t>LC</t>
  </si>
  <si>
    <t>008  Para 8 parcelas</t>
  </si>
  <si>
    <t>008 - Para 8 parcelas</t>
  </si>
  <si>
    <t>009 - Para 9 parcelas</t>
  </si>
  <si>
    <t>010 - Para 10 parcelas</t>
  </si>
  <si>
    <t>012 - Para 12 parcelas</t>
  </si>
  <si>
    <t>024 - Para 24 parcelas</t>
  </si>
  <si>
    <t>036 - Para 36 parcelas</t>
  </si>
  <si>
    <t>048 - Para 48 parcelas</t>
  </si>
  <si>
    <t>Espirito Santo</t>
  </si>
  <si>
    <t>NATUREZA HW</t>
  </si>
  <si>
    <t>NATUREZA SW</t>
  </si>
  <si>
    <t>NATUREZA LIC</t>
  </si>
  <si>
    <t>NATUREZA ST</t>
  </si>
  <si>
    <t>Aruba - Hardware - 2081927710</t>
  </si>
  <si>
    <t>Aruba - Hardware - 5193041599</t>
  </si>
  <si>
    <t>HW</t>
  </si>
  <si>
    <t>8517.62.59</t>
  </si>
  <si>
    <t>Aruba - Licença - 2081927725</t>
  </si>
  <si>
    <t>Checkpoint - Hardware - 5193055171</t>
  </si>
  <si>
    <t>SW</t>
  </si>
  <si>
    <t>Aruba - Software - 2081927797</t>
  </si>
  <si>
    <t>Cisco - Hardware - 5193055403</t>
  </si>
  <si>
    <t>Checkpoint - Hardware - 2081928362</t>
  </si>
  <si>
    <t>Fortinet - Hardware - 5193055497</t>
  </si>
  <si>
    <t>Checkpoint - Licença - 2081928392</t>
  </si>
  <si>
    <t>Furukawa - Hardware - 5226919005</t>
  </si>
  <si>
    <t>Checkpoint - Software - 2081928423</t>
  </si>
  <si>
    <t>HP - Hardware - 5193056281</t>
  </si>
  <si>
    <t>Cisco - Hardware - 2081928474</t>
  </si>
  <si>
    <t>HPE - Hardware - 5409033867</t>
  </si>
  <si>
    <t>Cisco - Licença - 2081928489</t>
  </si>
  <si>
    <t>Intelbras - Hardware - 5227063785</t>
  </si>
  <si>
    <t>Cisco - Software - 2081928499</t>
  </si>
  <si>
    <t>Logitech - Hardware - 5193056425</t>
  </si>
  <si>
    <t>Fortinet - Hardware - 2081928508</t>
  </si>
  <si>
    <t>Microsoft - Hardware - 5407897042</t>
  </si>
  <si>
    <t>Fortinet - Licença - 2081928516</t>
  </si>
  <si>
    <t>Outros - Fami- 5411396394</t>
  </si>
  <si>
    <t>Fortinet - Software - 2081928547</t>
  </si>
  <si>
    <t>Furukawa - Hardware - 2101313207</t>
  </si>
  <si>
    <t>Poly - Hardware - 5193057202</t>
  </si>
  <si>
    <t>Furukawa - Licença - 2101313397</t>
  </si>
  <si>
    <t>Yealink - Hardware - 5227091521</t>
  </si>
  <si>
    <t>Furukawa - Software - 2101314357</t>
  </si>
  <si>
    <t>HP - Hardware - 2081928554</t>
  </si>
  <si>
    <t>HP - Licença - 2081928561</t>
  </si>
  <si>
    <t>HP - Software - 2081928580</t>
  </si>
  <si>
    <t>HPE - Hardware - 2163576450</t>
  </si>
  <si>
    <t>HPE - Licença - 2163576529</t>
  </si>
  <si>
    <t>HPE - Software - 2163576959</t>
  </si>
  <si>
    <t>Intelbras - Hardware - 2101375261</t>
  </si>
  <si>
    <t>Intelbras - Licença - 2101375369</t>
  </si>
  <si>
    <t>Intelbras - Software - 2101375342</t>
  </si>
  <si>
    <t>Logitech - Hardware - 2081928583</t>
  </si>
  <si>
    <t>Logitech - Licença - 2081928600</t>
  </si>
  <si>
    <t>Logitech - Software - 2081928624</t>
  </si>
  <si>
    <t>Microsoft - Hardware - 2081928639</t>
  </si>
  <si>
    <t>Microsoft - Licença - 2081928677</t>
  </si>
  <si>
    <t>Microsoft - Software - 2081928701</t>
  </si>
  <si>
    <t>Outros - Fami - 2164790403</t>
  </si>
  <si>
    <t>Palo Alto - Hardware - 2081928719</t>
  </si>
  <si>
    <t>Palo Alto - Licença - 2081928724</t>
  </si>
  <si>
    <t>Palo Alto - Software - 2081928739</t>
  </si>
  <si>
    <t>Poly - Hardware - 2081928825</t>
  </si>
  <si>
    <t>Poly - Serviços - 2081928836</t>
  </si>
  <si>
    <t>Poly - Software - 2081928847</t>
  </si>
  <si>
    <t>Vmware - Sotfware - 2093070670</t>
  </si>
  <si>
    <t>Yealink - Hardware - 2101377412</t>
  </si>
  <si>
    <t>Yealink - Licença - 2101377485</t>
  </si>
  <si>
    <t>Yealink - Software - 2101377471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</si>
  <si>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</si>
  <si>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</si>
  <si>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</si>
  <si>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</si>
  <si>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</si>
  <si>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</si>
  <si>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</si>
  <si>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</si>
  <si>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</si>
  <si>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</si>
  <si>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</si>
  <si>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</si>
  <si>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</si>
  <si>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</si>
  <si>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</si>
  <si>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DISTRIBUIDOR / FORNECEDOR - Coluna 1</t>
  </si>
  <si>
    <t>CEP - Coluna 14</t>
  </si>
  <si>
    <t xml:space="preserve">Endereço Completo (Formula Concatenar) </t>
  </si>
  <si>
    <t>A C P M SERVICOS E COMERCIO - ES</t>
  </si>
  <si>
    <t>09.121.909/0001-72</t>
  </si>
  <si>
    <t>84520205</t>
  </si>
  <si>
    <t xml:space="preserve"> ana.pires@acorp.com.br
</t>
  </si>
  <si>
    <t>Ana Pires</t>
  </si>
  <si>
    <t xml:space="preserve">(11) 5535-3759 </t>
  </si>
  <si>
    <t xml:space="preserve">11 99992-2578 </t>
  </si>
  <si>
    <t>AV LAGOA ENCANTADA</t>
  </si>
  <si>
    <t>220</t>
  </si>
  <si>
    <t>ARMZ A6 SALA 11</t>
  </si>
  <si>
    <t>VALE ENCANTADO</t>
  </si>
  <si>
    <t>VILA VELHA</t>
  </si>
  <si>
    <t>29113-515</t>
  </si>
  <si>
    <t>AV LAGOA ENCANTADA, 220 - CEP: 29113-515 - ARMZ A6 SALA 11 , VALE ENCANTADO, VILA VELHA/ES</t>
  </si>
  <si>
    <t>AGIS EQUIPAMENTOS E SERVICOS DE INFORMATICA LTDA - ES</t>
  </si>
  <si>
    <t>68.993.641/0010-19</t>
  </si>
  <si>
    <t xml:space="preserve"> 083520856</t>
  </si>
  <si>
    <t>(19) 3756-4658</t>
  </si>
  <si>
    <t xml:space="preserve"> Rua SAMUEL MEIRA BRASIL</t>
  </si>
  <si>
    <t xml:space="preserve">SALA 18 </t>
  </si>
  <si>
    <t>29.167-650</t>
  </si>
  <si>
    <t xml:space="preserve"> Rua SAMUEL MEIRA BRASIL, 394 - CEP: 29.167-650 - SALA 18  , TAQUARA II, SERRA/ES</t>
  </si>
  <si>
    <t xml:space="preserve"> 083005323</t>
  </si>
  <si>
    <t>ALGAR TELECOM S/A - MG</t>
  </si>
  <si>
    <t>71.208.516/0001-74</t>
  </si>
  <si>
    <t>7029809450010</t>
  </si>
  <si>
    <t>roberta@hyperparceiroalgar.com.br</t>
  </si>
  <si>
    <t xml:space="preserve">Roberta Asciutti </t>
  </si>
  <si>
    <t>(34) 3256-2961</t>
  </si>
  <si>
    <t>(11) 97380-6305</t>
  </si>
  <si>
    <t>RUA JOSE ALVES GARCIA</t>
  </si>
  <si>
    <t>415</t>
  </si>
  <si>
    <t>N/A</t>
  </si>
  <si>
    <t>Brasil</t>
  </si>
  <si>
    <t>Uberlândia</t>
  </si>
  <si>
    <t>MG</t>
  </si>
  <si>
    <t>38400-668</t>
  </si>
  <si>
    <t>RUA JOSE ALVES GARCIA, 415 - CEP: 38400-668 - N/A , Brasil, Uberlândia/MG</t>
  </si>
  <si>
    <t>ATIVA 1 TELECOM LTDA</t>
  </si>
  <si>
    <t>21.823.548/0001-01</t>
  </si>
  <si>
    <t>144.253.466.114</t>
  </si>
  <si>
    <t>edilene.martins@ativa1.com.br</t>
  </si>
  <si>
    <t>Ediline Marinho Martins</t>
  </si>
  <si>
    <t>(11) 5585-7771/2</t>
  </si>
  <si>
    <t>(11) 98522-2705</t>
  </si>
  <si>
    <t>AV. FAGUNDES FILHO</t>
  </si>
  <si>
    <t>486</t>
  </si>
  <si>
    <t>CJ.51</t>
  </si>
  <si>
    <t>VILA MONTE ALEGRE</t>
  </si>
  <si>
    <t>São Paulo</t>
  </si>
  <si>
    <t xml:space="preserve">04304-000 </t>
  </si>
  <si>
    <t>AV. FAGUNDES FILHO, 486 - CEP: 04304-000  - CJ.51 , VILA MONTE ALEGRE, São Paulo/SP</t>
  </si>
  <si>
    <t>ARMANDO TIVO – ME - SP</t>
  </si>
  <si>
    <t>05.962.772/0001-28</t>
  </si>
  <si>
    <t>140162971114</t>
  </si>
  <si>
    <t>armando@radarpro.com.br</t>
  </si>
  <si>
    <t>(11) 3259-2919</t>
  </si>
  <si>
    <t>(11) 98168-0000</t>
  </si>
  <si>
    <t>RUA MICHÉL CARRÉ</t>
  </si>
  <si>
    <t>195</t>
  </si>
  <si>
    <t>Jardim Niteroi</t>
  </si>
  <si>
    <t>04434-020</t>
  </si>
  <si>
    <t>RUA MICHÉL CARRÉ, 195 - CEP: 04434-020 - N/A , Jardim Niteroi, São Paulo/SP</t>
  </si>
  <si>
    <t>COGRA COMÉRCIO DE MÁQUINAS LTDA - ES</t>
  </si>
  <si>
    <t>06.064.114/0002-62</t>
  </si>
  <si>
    <t xml:space="preserve"> 082.722.98-6</t>
  </si>
  <si>
    <t>cristiane.aizza@cogra.com.br</t>
  </si>
  <si>
    <t xml:space="preserve">Christiane Aizza 
</t>
  </si>
  <si>
    <t xml:space="preserve">(11) 2821-8914
</t>
  </si>
  <si>
    <t>(11) 2821-8928</t>
  </si>
  <si>
    <t>RODOVIA GOVERNADOR MARIO COVAS</t>
  </si>
  <si>
    <t>10600</t>
  </si>
  <si>
    <t>KM 290 - GALPÃO 14 - SALA 03</t>
  </si>
  <si>
    <t>Serra do Anil</t>
  </si>
  <si>
    <t>Cariacica</t>
  </si>
  <si>
    <t xml:space="preserve">29147-030 </t>
  </si>
  <si>
    <t>RODOVIA GOVERNADOR MARIO COVAS, 10600 - CEP: 29147-030  - KM 290 - GALPÃO 14 - SALA 03 , Serra do Anil, Cariacica/ES</t>
  </si>
  <si>
    <t>FCP SERVICES SOLUÇÕES INTEGRADAS ME (PERALTA) - SP</t>
  </si>
  <si>
    <t>29.738.462/0001-92</t>
  </si>
  <si>
    <t>119069586118</t>
  </si>
  <si>
    <t>francisco.peralta@fcpservices.com.br</t>
  </si>
  <si>
    <t xml:space="preserve"> Francisco Peralta</t>
  </si>
  <si>
    <t>(11) 96744-4586</t>
  </si>
  <si>
    <t>RUA MIGUEL YUNES</t>
  </si>
  <si>
    <t>545</t>
  </si>
  <si>
    <t>Apt 75 Torre 1</t>
  </si>
  <si>
    <t>Usina Piratininga</t>
  </si>
  <si>
    <t>SÃO PAULO</t>
  </si>
  <si>
    <t>04444-000</t>
  </si>
  <si>
    <t>RUA MIGUEL YUNES, 545 - CEP: 04444-000 - Apt 75 Torre 1 , Usina Piratininga, SÃO PAULO/SP</t>
  </si>
  <si>
    <t>GANESH TECHNOLOGY COMERCIO E SERVICOS DE INFORMATICA LTDA - SP</t>
  </si>
  <si>
    <t>08.636.630/0001-69</t>
  </si>
  <si>
    <t>149580828118</t>
  </si>
  <si>
    <t>FINANCEIRO@GANTECH.COM.BR</t>
  </si>
  <si>
    <t>(11) 4062-0039</t>
  </si>
  <si>
    <t>(11) 3877-0745</t>
  </si>
  <si>
    <t>AVENIDA FRANCISCO MATARAZZO</t>
  </si>
  <si>
    <t>1752</t>
  </si>
  <si>
    <t>SALA 1705</t>
  </si>
  <si>
    <t>ÁGUA BRANCA</t>
  </si>
  <si>
    <t>05.001-200</t>
  </si>
  <si>
    <t>AVENIDA FRANCISCO MATARAZZO, 1752 - CEP: 05.001-200 - SALA 1705 , ÁGUA BRANCA, São Paulo/SP</t>
  </si>
  <si>
    <t>INGRAM MICRO BRASIL LTDA - ES -800</t>
  </si>
  <si>
    <t>01.771.935/0008-00</t>
  </si>
  <si>
    <t>082981485</t>
  </si>
  <si>
    <t>johnatan.debroi@ingrammicro.com</t>
  </si>
  <si>
    <t>Johnatan Debroi</t>
  </si>
  <si>
    <t xml:space="preserve">(11) 2078-4677  </t>
  </si>
  <si>
    <t>PORTO ALEGRE</t>
  </si>
  <si>
    <t>307</t>
  </si>
  <si>
    <t xml:space="preserve">GALPÃO 01 MODULO 04 PARTE B ÁREA EU V CIVIT II </t>
  </si>
  <si>
    <t>NOVA ZELÂNDIA</t>
  </si>
  <si>
    <t>29175-706</t>
  </si>
  <si>
    <t>PORTO ALEGRE, 307 - CEP: 29175-706 - GALPÃO 01 MODULO 04 PARTE B ÁREA EU V CIVIT II  , NOVA ZELÂNDIA, SERRA/ES</t>
  </si>
  <si>
    <t>INGRAM MICRO BRASIL LTDA - ES - 025</t>
  </si>
  <si>
    <t>01.771.935/0010-25</t>
  </si>
  <si>
    <t xml:space="preserve">	 083141588</t>
  </si>
  <si>
    <t>INGRAM MICRO BRASIL LTDA - SP - 134</t>
  </si>
  <si>
    <t xml:space="preserve">01.771.935/0001-34 </t>
  </si>
  <si>
    <t>114.234.436.117</t>
  </si>
  <si>
    <t>AV DOUTOR CHUCRI ZAIDAN</t>
  </si>
  <si>
    <t>1240</t>
  </si>
  <si>
    <t>CONJ 2102 2104 ANDAR 21</t>
  </si>
  <si>
    <t>VILA SAO FRANCISCO (ZONA SUL)</t>
  </si>
  <si>
    <t>SAO PAULO</t>
  </si>
  <si>
    <t>04.711-130</t>
  </si>
  <si>
    <t>AV DOUTOR CHUCRI ZAIDAN, 1240 - CEP: 04.711-130 - CONJ 2102 2104 ANDAR 21 , VILA SAO FRANCISCO (ZONA SUL), SAO PAULO/SP</t>
  </si>
  <si>
    <t>INGRAM MICRO BRASIL LTDA - SP - 610</t>
  </si>
  <si>
    <t>01.771.935/0016-10</t>
  </si>
  <si>
    <t>206546140117</t>
  </si>
  <si>
    <t>AV PIRACEMA</t>
  </si>
  <si>
    <t>1341</t>
  </si>
  <si>
    <t>GALPÕES 03 E 04</t>
  </si>
  <si>
    <t>TAMBORÉ</t>
  </si>
  <si>
    <t>06460-030</t>
  </si>
  <si>
    <t>AV PIRACEMA, 1341 - CEP: 06460-030 - GALPÕES 03 E 04 , TAMBORÉ, BARUERI/SP</t>
  </si>
  <si>
    <t>INGRAM MICRO BRASIL LTDA - SP - 215</t>
  </si>
  <si>
    <t>01.771.935/0002-15</t>
  </si>
  <si>
    <t>206074912112</t>
  </si>
  <si>
    <t>(11) 3677-5860</t>
  </si>
  <si>
    <t>206122484113</t>
  </si>
  <si>
    <t>Gustavo Xavier</t>
  </si>
  <si>
    <t>(11) 3303-3325</t>
  </si>
  <si>
    <t>(11) 98587-1649</t>
  </si>
  <si>
    <t>Avenida Copacabana, 190 - CEP: 06.472-001 - Andar 2 Conj. 201 , Empresarial 18 Do Forte, Barueri/SP</t>
  </si>
  <si>
    <t xml:space="preserve">INTERATELL TELECOMUNICAÇÕES E DESENVOLVIMENTO LTDA </t>
  </si>
  <si>
    <t>05.374.807/0001-08</t>
  </si>
  <si>
    <t>116.501.803.116</t>
  </si>
  <si>
    <t>RUA HENRIQUE SERTÓRIO</t>
  </si>
  <si>
    <t>564</t>
  </si>
  <si>
    <t>SALA 1207, 12 ANDAR</t>
  </si>
  <si>
    <t>TATUAPÉ</t>
  </si>
  <si>
    <t>03.066-065</t>
  </si>
  <si>
    <t>RUA HENRIQUE SERTÓRIO, 564 - CEP: 03.066-065 - SALA 1207, 12 ANDAR , TATUAPÉ, SÃO PAULO/SP</t>
  </si>
  <si>
    <t>INTERATELL INTEGRACOES E TELECOMUNICACOES LTDA - ES</t>
  </si>
  <si>
    <t xml:space="preserve">03.969.530/0002-11 </t>
  </si>
  <si>
    <t xml:space="preserve">RUA PROJETADA </t>
  </si>
  <si>
    <t>280</t>
  </si>
  <si>
    <t>SALA 3G</t>
  </si>
  <si>
    <t>POLO EMPRESARIAL NOVO MEXICO</t>
  </si>
  <si>
    <t xml:space="preserve">VILA VELHA </t>
  </si>
  <si>
    <t>RUA PROJETADA , 280 - CEP: 084.000.44-9 - SALA 3G , POLO EMPRESARIAL NOVO MEXICO, VILA VELHA /ES</t>
  </si>
  <si>
    <t>I4S SERVIÇOS E SOLUÇÕES INTELIGENTES LTDA</t>
  </si>
  <si>
    <t>19.952.413/0001-02</t>
  </si>
  <si>
    <t>206.424.444.112</t>
  </si>
  <si>
    <t>AV COPACABANA</t>
  </si>
  <si>
    <t>177</t>
  </si>
  <si>
    <t xml:space="preserve">SALA 88 GAMA OFFICES </t>
  </si>
  <si>
    <t>DEZOITO DO FORTE EMPRESARIAL</t>
  </si>
  <si>
    <t>AV COPACABANA, 177 - CEP: 06.472-001 - SALA 88 GAMA OFFICES  , DEZOITO DO FORTE EMPRESARIAL, BARUERI/SP</t>
  </si>
  <si>
    <t>JBO COMERCIO E SERVIÇOS DE COMUNICAÇÃO LTDA - SP</t>
  </si>
  <si>
    <t>27.212.089/0001-06</t>
  </si>
  <si>
    <t>635958190110</t>
  </si>
  <si>
    <t xml:space="preserve">icaro@jbobrasil.com.br </t>
  </si>
  <si>
    <t>ÍCARO LUIZ</t>
  </si>
  <si>
    <t xml:space="preserve"> (11) 4177-2120 </t>
  </si>
  <si>
    <t xml:space="preserve">(11) 94189-6563 </t>
  </si>
  <si>
    <t>AVENIDA VIVALDI (VL. VIVALDI)</t>
  </si>
  <si>
    <t>818</t>
  </si>
  <si>
    <t>RUDGE RAMOS</t>
  </si>
  <si>
    <t>SÃO BERNARDO DO CAMPO</t>
  </si>
  <si>
    <t>09.617-000</t>
  </si>
  <si>
    <t>AVENIDA VIVALDI (VL. VIVALDI), 818 - CEP: 09.617-000 - N/A , RUDGE RAMOS, SÃO BERNARDO DO CAMPO/SP</t>
  </si>
  <si>
    <t>KLINT DISTRIBUIDORA DE FIOS E CABOS LTDA - SP</t>
  </si>
  <si>
    <t>02.195.445/0001-08</t>
  </si>
  <si>
    <t>387.394.816.117</t>
  </si>
  <si>
    <t>andressa@klint.com.br</t>
  </si>
  <si>
    <t>Andressa Assiz Bezerra</t>
  </si>
  <si>
    <t xml:space="preserve">(19) 3773-9300 </t>
  </si>
  <si>
    <t>RUA MARGINAL EMICOL</t>
  </si>
  <si>
    <t>S/N</t>
  </si>
  <si>
    <t>COND WEST PARK INDUSTRIALLOTE 07 08 ML 06 QUADRAA</t>
  </si>
  <si>
    <t>Jardim Emicol</t>
  </si>
  <si>
    <t>ITU</t>
  </si>
  <si>
    <t>13312-820</t>
  </si>
  <si>
    <t>RUA MARGINAL EMICOL, S/N - CEP: 13312-820 - COND WEST PARK INDUSTRIALLOTE 07 08 ML 06 QUADRAA , Jardim Emicol, ITU/SP</t>
  </si>
  <si>
    <t>LHD COMERCIO DE EQUIPAMENTOS ELETRÔNICOS LTDA - SP</t>
  </si>
  <si>
    <t>14.619.477/0001-64</t>
  </si>
  <si>
    <t>146720201116</t>
  </si>
  <si>
    <t>rafaelferraro@lhdtelecom.com.br</t>
  </si>
  <si>
    <t xml:space="preserve">Rafael Ferraro
</t>
  </si>
  <si>
    <t xml:space="preserve">(11) 2973-3249 </t>
  </si>
  <si>
    <t xml:space="preserve">(11) 9790-5616 </t>
  </si>
  <si>
    <t>RUA MARIA CURUPAITI</t>
  </si>
  <si>
    <t>441</t>
  </si>
  <si>
    <t>CONJ. 2007 G</t>
  </si>
  <si>
    <t>VILA ESTER (ZONA NORTE)</t>
  </si>
  <si>
    <t>02452-001</t>
  </si>
  <si>
    <t>RUA MARIA CURUPAITI, 441 - CEP: 02452-001 - CONJ. 2007 G , VILA ESTER (ZONA NORTE), SÃO PAULO/SP</t>
  </si>
  <si>
    <t>OTG - UXOPEN SOLUTION INVENT COMPANY LTDA - SP</t>
  </si>
  <si>
    <t>04.903.083/0002-60</t>
  </si>
  <si>
    <t>206396111117</t>
  </si>
  <si>
    <t xml:space="preserve"> larissa.madrid@otg.com.br</t>
  </si>
  <si>
    <t xml:space="preserve"> Larissa Madrid</t>
  </si>
  <si>
    <t>(11) 97270-0558</t>
  </si>
  <si>
    <t>Alameda GRAJAU</t>
  </si>
  <si>
    <t>219</t>
  </si>
  <si>
    <t xml:space="preserve">Alphaville Centro Industrial </t>
  </si>
  <si>
    <t>06.454-050</t>
  </si>
  <si>
    <t>Alameda GRAJAU, 219 - CEP: 06.454-050 - N/A , Alphaville Centro Industrial , Barueri/SP</t>
  </si>
  <si>
    <t>PCS SOFTWARE E SERVIÇOS LTDA - SP</t>
  </si>
  <si>
    <t>05.850.893/0001-88</t>
  </si>
  <si>
    <t>148346325113</t>
  </si>
  <si>
    <t>demys.hauk@pcsbrasil.com.br</t>
  </si>
  <si>
    <t xml:space="preserve">Demys Hauk 
</t>
  </si>
  <si>
    <t>(11)3075-2933</t>
  </si>
  <si>
    <t>(11) 97763-8000</t>
  </si>
  <si>
    <t>RUA MINISTRO NELSON HUNGRIA</t>
  </si>
  <si>
    <t>239</t>
  </si>
  <si>
    <t>CONJ. 05</t>
  </si>
  <si>
    <t>VILA TRAMONTANO</t>
  </si>
  <si>
    <t>05.690-050</t>
  </si>
  <si>
    <t>RUA MINISTRO NELSON HUNGRIA, 239 - CEP: 05.690-050 - CONJ. 05 , VILA TRAMONTANO, SÃO PAULO/SP</t>
  </si>
  <si>
    <t>PORTAL DO CISCO COMÉRCIO DE EQUIPAMENTOS ELETRONICOS LTDA</t>
  </si>
  <si>
    <t>07.457.931/0001-62</t>
  </si>
  <si>
    <t>117080990111</t>
  </si>
  <si>
    <t>rctelecom@hotmail.com</t>
  </si>
  <si>
    <t xml:space="preserve">Rodolfo Cardoso
</t>
  </si>
  <si>
    <t xml:space="preserve">(11) 2546-4260 </t>
  </si>
  <si>
    <t>(11) 99232-6066</t>
  </si>
  <si>
    <t>Rua RUI PIROZZELLI</t>
  </si>
  <si>
    <t>52</t>
  </si>
  <si>
    <t>Sala 1</t>
  </si>
  <si>
    <t>Jd. Matarazzo</t>
  </si>
  <si>
    <t>03.811-020</t>
  </si>
  <si>
    <t>Rua RUI PIROZZELLI, 52 - CEP: 03.811-020 - Sala 1 , Jd. Matarazzo, São Paulo/SP</t>
  </si>
  <si>
    <t>ROUTERLINK IT SOLUTIONS AND SERVICES LTDA - SP</t>
  </si>
  <si>
    <t>05.032.228/0001-87</t>
  </si>
  <si>
    <t>116370080116</t>
  </si>
  <si>
    <t>ricardo.shiguedomi@routerlink.com.br</t>
  </si>
  <si>
    <t>Ricardo Shiguedomi</t>
  </si>
  <si>
    <t xml:space="preserve">(11) 3164-5706 </t>
  </si>
  <si>
    <t>(11) 5586-5656</t>
  </si>
  <si>
    <t>AVENIDA FAGUNDES FILHO</t>
  </si>
  <si>
    <t>191</t>
  </si>
  <si>
    <t>SALA 151 E152</t>
  </si>
  <si>
    <t>04.304-010</t>
  </si>
  <si>
    <t>AVENIDA FAGUNDES FILHO, 191 - CEP: 04.304-010 - SALA 151 E152 , VILA MONTE ALEGRE, SÃO PAULO/SP</t>
  </si>
  <si>
    <t>R S INFORMATICA SOLUCOES EM TECNOLOGIA</t>
  </si>
  <si>
    <t>21.460.930/0001-06</t>
  </si>
  <si>
    <t>05.434.727-0</t>
  </si>
  <si>
    <t>ronei@rsinformaticati.com.br</t>
  </si>
  <si>
    <t>Ronei Silva</t>
  </si>
  <si>
    <t>(92) 99131-6896</t>
  </si>
  <si>
    <t>AV BOM JESUS</t>
  </si>
  <si>
    <t>485</t>
  </si>
  <si>
    <t xml:space="preserve">COLONIA TERRA NOVA </t>
  </si>
  <si>
    <t>MANAUS</t>
  </si>
  <si>
    <t>AM</t>
  </si>
  <si>
    <t xml:space="preserve">69.015-300 </t>
  </si>
  <si>
    <t>AV BOM JESUS, 485 - CEP: 69.015-300  -  , COLONIA TERRA NOVA , MANAUS/AM</t>
  </si>
  <si>
    <t>SCANSOURCE BRASIL DISTRIBUIDORA DE TECNOLOGIAS - ES</t>
  </si>
  <si>
    <t>05.607.657/0010-26</t>
  </si>
  <si>
    <t>083152890</t>
  </si>
  <si>
    <t>Aline.Nascimento@scansource.com</t>
  </si>
  <si>
    <t xml:space="preserve">Aline V. Nascimento </t>
  </si>
  <si>
    <t>(11) 3049-0322</t>
  </si>
  <si>
    <t>(11) 99731-9477</t>
  </si>
  <si>
    <t xml:space="preserve">R PORTO ALEGRE </t>
  </si>
  <si>
    <t xml:space="preserve">GALPAO2 ARMZ 2 MODULO 01 PARTE A AREA UE V </t>
  </si>
  <si>
    <t xml:space="preserve">NOVA ZELANDIA </t>
  </si>
  <si>
    <t>29173-795</t>
  </si>
  <si>
    <t>R PORTO ALEGRE , 307 - CEP: 29173-795 - GALPAO2 ARMZ 2 MODULO 01 PARTE A AREA UE V  , NOVA ZELANDIA , SERRA/ES</t>
  </si>
  <si>
    <t>SCANSOURCE BRASIL DISTRIBUIDORA DE TECNOLOGIAS - GO</t>
  </si>
  <si>
    <t>05.607.657/0009-92</t>
  </si>
  <si>
    <t>103684948</t>
  </si>
  <si>
    <t>Av. Independência</t>
  </si>
  <si>
    <t>1146</t>
  </si>
  <si>
    <t>LTS 20/21</t>
  </si>
  <si>
    <t>St. Leste Vila Nova</t>
  </si>
  <si>
    <t>Goiânia</t>
  </si>
  <si>
    <t>GO</t>
  </si>
  <si>
    <t>74645-010</t>
  </si>
  <si>
    <t>Av. Independência, 1146 - CEP: 74645-010 - LTS 20/21 , St. Leste Vila Nova, Goiânia/GO</t>
  </si>
  <si>
    <t>SCANSOURCE BRASIL DISTRIBUIDORA DE TECNOLOGIAS - PR</t>
  </si>
  <si>
    <t>05.607.657/0001-35</t>
  </si>
  <si>
    <t>90295527137</t>
  </si>
  <si>
    <t>AV. RUI BARBOSA</t>
  </si>
  <si>
    <t>2529</t>
  </si>
  <si>
    <t>GALPÃO 11 E 12</t>
  </si>
  <si>
    <t>JARDIM IPÊ</t>
  </si>
  <si>
    <t>SÃO JOSÉ DOS PINHAIS</t>
  </si>
  <si>
    <t>PR</t>
  </si>
  <si>
    <t>83055-320</t>
  </si>
  <si>
    <t>AV. RUI BARBOSA, 2529 - CEP: 83055-320 - GALPÃO 11 E 12 , JARDIM IPÊ, SÃO JOSÉ DOS PINHAIS/PR</t>
  </si>
  <si>
    <t>SCANSOURCE BRASIL DISTRIBUIDORA DE TECNOLOGIAS - SC</t>
  </si>
  <si>
    <t>05.607.657/0008-01</t>
  </si>
  <si>
    <t>257721789</t>
  </si>
  <si>
    <t>RUA DOMINGOS RAMPELOTTI</t>
  </si>
  <si>
    <t>3.501</t>
  </si>
  <si>
    <t>MODULO 12 A E B</t>
  </si>
  <si>
    <t>SÃO ROQUE</t>
  </si>
  <si>
    <t xml:space="preserve"> Itajaí</t>
  </si>
  <si>
    <t>SC</t>
  </si>
  <si>
    <t>88307-102</t>
  </si>
  <si>
    <t>RUA DOMINGOS RAMPELOTTI, 3.501 - CEP: 88307-102 - MODULO 12 A E B , SÃO ROQUE,  Itajaí/SC</t>
  </si>
  <si>
    <t>SCANSOURCE BRASIL DISTRIBUIDORA DE TECNOLOGIAS - SP</t>
  </si>
  <si>
    <t>05.607.657/0011-07</t>
  </si>
  <si>
    <t>241136098115</t>
  </si>
  <si>
    <t>AVENIDA DOUTOR ANTONIO JOAO ABDALLA</t>
  </si>
  <si>
    <t>260</t>
  </si>
  <si>
    <t>LOTE AREA A BLOCO 200 SALA 1</t>
  </si>
  <si>
    <t>CRISTAIS</t>
  </si>
  <si>
    <t>CAJAMAR</t>
  </si>
  <si>
    <t>07776-700</t>
  </si>
  <si>
    <t>AVENIDA DOUTOR ANTONIO JOAO ABDALLA, 260 - CEP: 07776-700 - LOTE AREA A BLOCO 200 SALA 1 , CRISTAIS, CAJAMAR/SP</t>
  </si>
  <si>
    <t>SIS COMERCIO E SERVICOS DE COMUNICACAO LTDA</t>
  </si>
  <si>
    <t>44.265.951/0001-68</t>
  </si>
  <si>
    <t>121.402.720.113</t>
  </si>
  <si>
    <t>danilo@sisengenharia.com.b</t>
  </si>
  <si>
    <t>Danilo Oliveira</t>
  </si>
  <si>
    <t>(11) 4451-5110</t>
  </si>
  <si>
    <t>(11)  9894-0899</t>
  </si>
  <si>
    <t>AV DOM PEDRO I</t>
  </si>
  <si>
    <t>2460</t>
  </si>
  <si>
    <t>SALA 11</t>
  </si>
  <si>
    <t>SANTO ANDRE</t>
  </si>
  <si>
    <t>09.130-400</t>
  </si>
  <si>
    <t>AV DOM PEDRO I, 2460 - CEP: 09.130-400 - SALA 11 , SANTO ANDRE, SÃO PAULO/SP</t>
  </si>
  <si>
    <t>SUMAUMA COMPUTADOES E TELECOMUNICAÇÕES LTDA - SP</t>
  </si>
  <si>
    <t>01.230.666/0001-07</t>
  </si>
  <si>
    <t>114686959116</t>
  </si>
  <si>
    <t>denisarantes@sumaumatelecom.com.br</t>
  </si>
  <si>
    <t xml:space="preserve">Denis V.Arantes
</t>
  </si>
  <si>
    <t>(11) 3966-2454</t>
  </si>
  <si>
    <t>(11) 99663-0944</t>
  </si>
  <si>
    <t>RUA MARAMBAIA</t>
  </si>
  <si>
    <t>424</t>
  </si>
  <si>
    <t>SALA 14</t>
  </si>
  <si>
    <t>Casa Verde</t>
  </si>
  <si>
    <t>02513-000</t>
  </si>
  <si>
    <t>RUA MARAMBAIA, 424 - CEP: 02513-000 - SALA 14 , Casa Verde, SÃO PAULO/SP</t>
  </si>
  <si>
    <t>SUMUS INFORMATICA E COMERCIO LTDA</t>
  </si>
  <si>
    <t>56.806.920/0001-56</t>
  </si>
  <si>
    <t>115306495119</t>
  </si>
  <si>
    <t>rodrigo.regis@sumus.com.br</t>
  </si>
  <si>
    <t xml:space="preserve">Rodrigo Regis
</t>
  </si>
  <si>
    <t>(11) 2847-1816</t>
  </si>
  <si>
    <t>RUA CANARIO</t>
  </si>
  <si>
    <t>615</t>
  </si>
  <si>
    <t xml:space="preserve">TERREO E 1 ANDAR </t>
  </si>
  <si>
    <t>MOEMA</t>
  </si>
  <si>
    <t xml:space="preserve">04.521-002 </t>
  </si>
  <si>
    <t>RUA CANARIO, 615 - CEP: 04.521-002  - TERREO E 1 ANDAR  , MOEMA, SÃO PAULO/SP</t>
  </si>
  <si>
    <t>PCI PROTEÇÃO CABOS INFORMÁTICA LTDA</t>
  </si>
  <si>
    <t xml:space="preserve">	07.870.634/0001-44</t>
  </si>
  <si>
    <t>148.096.142.112</t>
  </si>
  <si>
    <t>vendas@primecabos.com.br</t>
  </si>
  <si>
    <t xml:space="preserve">Jose Carlos Alves
</t>
  </si>
  <si>
    <t xml:space="preserve">(11) 3362-1313 </t>
  </si>
  <si>
    <t>RUA GAL OSORIO</t>
  </si>
  <si>
    <t>330</t>
  </si>
  <si>
    <t xml:space="preserve">SANTA EFIGENIA </t>
  </si>
  <si>
    <t xml:space="preserve">SAO PAULO </t>
  </si>
  <si>
    <t>01.213-000</t>
  </si>
  <si>
    <t>RUA GAL OSORIO, 330 - CEP: 01.213-000 -  , SANTA EFIGENIA , SAO PAULO /SP</t>
  </si>
  <si>
    <t>SYMA SOLUTIONS/MATRIZ</t>
  </si>
  <si>
    <t>04.912.543/0001-36</t>
  </si>
  <si>
    <t>9025702503</t>
  </si>
  <si>
    <t>hugo@syma.com.br</t>
  </si>
  <si>
    <t>Hugo Yanaka</t>
  </si>
  <si>
    <t>(44) 4009-9110</t>
  </si>
  <si>
    <t>(44) 99921-9515</t>
  </si>
  <si>
    <t>AV. JOÃO PAULINO VIEIRA FILHO</t>
  </si>
  <si>
    <t>625</t>
  </si>
  <si>
    <t>SALA 21</t>
  </si>
  <si>
    <t>Zona Sete</t>
  </si>
  <si>
    <t>Maringá</t>
  </si>
  <si>
    <t>87020-015</t>
  </si>
  <si>
    <t>AV. JOÃO PAULINO VIEIRA FILHO, 625 - CEP: 87020-015 - SALA 21 , Zona Sete, Maringá/PR</t>
  </si>
  <si>
    <t>TECNOAMBAR ELETRICIDADE E AUTOMAÇÃO LTDA – ME - SP</t>
  </si>
  <si>
    <t>24.666.442/0001-30</t>
  </si>
  <si>
    <t>395056075110</t>
  </si>
  <si>
    <t>carlos.varoni@tecnoambar.com.br</t>
  </si>
  <si>
    <t>Carlos Varoni</t>
  </si>
  <si>
    <t>(19) 3837-1874</t>
  </si>
  <si>
    <t>(19) 99998-3464</t>
  </si>
  <si>
    <t>AV. ALEXANDRE MARION</t>
  </si>
  <si>
    <t>707</t>
  </si>
  <si>
    <t>Jardim Santa Mercedes</t>
  </si>
  <si>
    <t>Jaguariúna</t>
  </si>
  <si>
    <t>13.912-544</t>
  </si>
  <si>
    <t>AV. ALEXANDRE MARION, 707 - CEP: 13.912-544 - N/A , Jardim Santa Mercedes, Jaguariúna/SP</t>
  </si>
  <si>
    <t>UNENTEL SOLUÇÕES TECNOLÓGICAS LTDA - BA</t>
  </si>
  <si>
    <t>19.557.079/0001-84</t>
  </si>
  <si>
    <t>805011364114</t>
  </si>
  <si>
    <t>vera.thomaz@unentel.com.br</t>
  </si>
  <si>
    <t>Dayanna Rosa</t>
  </si>
  <si>
    <t xml:space="preserve">(11) 3201-7070 </t>
  </si>
  <si>
    <t xml:space="preserve">(11) 9 3317-6479 </t>
  </si>
  <si>
    <t>AVENIDA SANTIAGO DE COMPOSTELA</t>
  </si>
  <si>
    <t>192</t>
  </si>
  <si>
    <t>LJ</t>
  </si>
  <si>
    <t>PARQUE BELA VISTA</t>
  </si>
  <si>
    <t>SALVADOR</t>
  </si>
  <si>
    <t>BA</t>
  </si>
  <si>
    <t>40.279-150</t>
  </si>
  <si>
    <t>AVENIDA SANTIAGO DE COMPOSTELA, 192 - CEP: 40.279-150 - LJ , PARQUE BELA VISTA, SALVADOR/BA</t>
  </si>
  <si>
    <t>UNENTEL SOLUÇÕES TECNOLÓGICAS LTDA - ES</t>
  </si>
  <si>
    <t>19.557.079/0003-46</t>
  </si>
  <si>
    <t>083320385</t>
  </si>
  <si>
    <t>KM 279, SALA 13</t>
  </si>
  <si>
    <t>TIMS</t>
  </si>
  <si>
    <t>29161-382</t>
  </si>
  <si>
    <t>RODOVIA GOVERNADOR MARIO COVAS, S/N - CEP: 29161-382 - KM 279, SALA 13 , TIMS, SERRA/ES</t>
  </si>
  <si>
    <t>WESTCON BRASIL LTDA - ES</t>
  </si>
  <si>
    <t>28.268.233/0007-84</t>
  </si>
  <si>
    <t>82585440</t>
  </si>
  <si>
    <t>peterson.amancio@tdsynnex.com</t>
  </si>
  <si>
    <t>Peterson Amancio</t>
  </si>
  <si>
    <t xml:space="preserve">(11) 5525- 7989 </t>
  </si>
  <si>
    <t>(11) 99945-4253</t>
  </si>
  <si>
    <t>AV. ACESSO RODOVIÁRIO</t>
  </si>
  <si>
    <t>Q8, MÓDULO M-01, SALA 02</t>
  </si>
  <si>
    <t>29161-376</t>
  </si>
  <si>
    <t>AV. ACESSO RODOVIÁRIO, S/N - CEP: 29161-376 - Q8, MÓDULO M-01, SALA 02 , TIMS, SERRA/ES</t>
  </si>
  <si>
    <t>WESTCON BRASIL LTDA - RJ</t>
  </si>
  <si>
    <t>28.268.233/0006-01</t>
  </si>
  <si>
    <t>78597224</t>
  </si>
  <si>
    <t>RUA VICTOR CIVITA</t>
  </si>
  <si>
    <t>77</t>
  </si>
  <si>
    <t>BLOCO 1 - SALA 201</t>
  </si>
  <si>
    <t>Jacarepagua</t>
  </si>
  <si>
    <t>RIO DE JANEIRO</t>
  </si>
  <si>
    <t>RJ</t>
  </si>
  <si>
    <t>22775-022</t>
  </si>
  <si>
    <t>RUA VICTOR CIVITA, 77 - CEP: 22775-022 - BLOCO 1 - SALA 201 , Jacarepagua, RIO DE JANEIRO/RJ</t>
  </si>
  <si>
    <t>WESTCON BRASIL LTDA - SP</t>
  </si>
  <si>
    <t>28.268.233/0008-65</t>
  </si>
  <si>
    <t>808011045110</t>
  </si>
  <si>
    <t>RUA JOSÉ SEMIÃO RODRIGUES AGOSTINHO</t>
  </si>
  <si>
    <t>1370</t>
  </si>
  <si>
    <t xml:space="preserve">GALPÃO 43 </t>
  </si>
  <si>
    <t>ÁGUA ESPRAIADA</t>
  </si>
  <si>
    <t>EMBU DAS ARTES</t>
  </si>
  <si>
    <t>06833-370</t>
  </si>
  <si>
    <t>RUA JOSÉ SEMIÃO RODRIGUES AGOSTINHO, 1370 - CEP: 06833-370 - GALPÃO 43  , ÁGUA ESPRAIADA, EMBU DAS ARTES/SP</t>
  </si>
  <si>
    <t>Mtech Soluções . Telecomunicações e Sistemas de Segurança</t>
  </si>
  <si>
    <t>26.231.669/0001-88</t>
  </si>
  <si>
    <t xml:space="preserve"> alexandre.mtech@gmail.com</t>
  </si>
  <si>
    <t xml:space="preserve">Alexandre Coutinho </t>
  </si>
  <si>
    <t xml:space="preserve"> (48) 99904-1019</t>
  </si>
  <si>
    <t>Rua Joaquim José Antunes</t>
  </si>
  <si>
    <t>194</t>
  </si>
  <si>
    <t>Campeche</t>
  </si>
  <si>
    <t>Florianópolis</t>
  </si>
  <si>
    <t>88065-160</t>
  </si>
  <si>
    <t>Rua Joaquim José Antunes, 194 - CEP: 88065-160 -  , Campeche, Florianópolis/SC</t>
  </si>
  <si>
    <t>PCI PRIME CABOS INFORMATICA E ELETRICA LTDA</t>
  </si>
  <si>
    <t>03.878.575/0001-08</t>
  </si>
  <si>
    <t>131.035.873.112</t>
  </si>
  <si>
    <t>josecarlos.alves70@gmail.com</t>
  </si>
  <si>
    <t>Jose Carlos Alves</t>
  </si>
  <si>
    <t>11 3362-1313 </t>
  </si>
  <si>
    <t>322</t>
  </si>
  <si>
    <t>SANTA EFIGENIA</t>
  </si>
  <si>
    <t>01213000</t>
  </si>
  <si>
    <t>RUA GAL OSORIO, 322 - CEP: 01213000 -  , SANTA EFIGENIA, SAO PAULO /SP</t>
  </si>
  <si>
    <t>DEALER SHOP DISTRIBUICAO LTDA</t>
  </si>
  <si>
    <t>21.678.718/0001-01</t>
  </si>
  <si>
    <t>144188006110</t>
  </si>
  <si>
    <t>miryanne.dantas@dealershop.com.br</t>
  </si>
  <si>
    <t>Miryanne Dantas</t>
  </si>
  <si>
    <t xml:space="preserve">Rua Guarizinho, </t>
  </si>
  <si>
    <t>35</t>
  </si>
  <si>
    <t>02530-010</t>
  </si>
  <si>
    <t>Rua Guarizinho, , 35 - CEP: 02530-010 -  , Casa Verde, SAO PAULO /SP</t>
  </si>
  <si>
    <t xml:space="preserve"> Colaborar Comércio de Produtos Eletrônicos Ltda</t>
  </si>
  <si>
    <t>08.758.638/0001-06</t>
  </si>
  <si>
    <t>120044894115</t>
  </si>
  <si>
    <t>evaldo.monteiro@colaborar.com.br</t>
  </si>
  <si>
    <t>Evaldo Monteiro</t>
  </si>
  <si>
    <t>(11) 95726-7252</t>
  </si>
  <si>
    <t>1550</t>
  </si>
  <si>
    <t>SALA 1615 16 ANDAR</t>
  </si>
  <si>
    <t>VILA SÃO FRANCISCO</t>
  </si>
  <si>
    <t>AV DOUTOR CHUCRI ZAIDAN, 1550 - CEP: 04.711-130 - SALA 1615 16 ANDAR , VILA SÃO FRANCISCO, SÃO PAULO/SP</t>
  </si>
  <si>
    <t xml:space="preserve"> FLEXTEC PECAS E EQUIPAMENTOS DE INFORMATICA LTDA. </t>
  </si>
  <si>
    <t>04.436.785/0001-09</t>
  </si>
  <si>
    <t>149.243.706.111</t>
  </si>
  <si>
    <t xml:space="preserve">ribamar@fxtec.com.br
</t>
  </si>
  <si>
    <t xml:space="preserve">Jose Ribamar de Sousa 
</t>
  </si>
  <si>
    <t xml:space="preserve">11 5041-2770 </t>
  </si>
  <si>
    <t>11  96921-9559</t>
  </si>
  <si>
    <t>RUA VIERA DE MORAES</t>
  </si>
  <si>
    <t xml:space="preserve">1111 </t>
  </si>
  <si>
    <t>CJ 1203</t>
  </si>
  <si>
    <t>CAMPO BELO</t>
  </si>
  <si>
    <t xml:space="preserve">04617-014 </t>
  </si>
  <si>
    <t>RUA VIERA DE MORAES, 1111  - CEP: 04617-014  - CJ 1203 , CAMPO BELO, SÃO PAULO/SP</t>
  </si>
  <si>
    <t>LINE CONFERENCE LTDA</t>
  </si>
  <si>
    <t xml:space="preserve"> 35.956.461/0001-17</t>
  </si>
  <si>
    <t>797.559.900.118</t>
  </si>
  <si>
    <t xml:space="preserve">(16) 3234-3937
</t>
  </si>
  <si>
    <t>R MANOEL FERNANDES</t>
  </si>
  <si>
    <t>228</t>
  </si>
  <si>
    <t>JARDIM ZARA</t>
  </si>
  <si>
    <t>RIBEIRÃO PRETO</t>
  </si>
  <si>
    <t xml:space="preserve">SP </t>
  </si>
  <si>
    <t>14092-320</t>
  </si>
  <si>
    <t xml:space="preserve">R MANOEL FERNANDES, 228 - CEP: 14092-320 -  , JARDIM ZARA, RIBEIRÃO PRETO/SP </t>
  </si>
  <si>
    <t>Modernline Comércio de Móveis LTDA</t>
  </si>
  <si>
    <t>10.446.053/0001-94</t>
  </si>
  <si>
    <t>148.372.567-116</t>
  </si>
  <si>
    <t>casadosuporte@casadosuporte.com.br</t>
  </si>
  <si>
    <t>Casa do Suporte</t>
  </si>
  <si>
    <t>(11) 2548-6174</t>
  </si>
  <si>
    <t xml:space="preserve"> Av. Henry Ford</t>
  </si>
  <si>
    <t>825</t>
  </si>
  <si>
    <t>03109-000</t>
  </si>
  <si>
    <t xml:space="preserve"> Av. Henry Ford, 825 - CEP: 03109-000 -  , SÃO PAULO, SÃO PAULO/SP </t>
  </si>
  <si>
    <t xml:space="preserve">	131035873112</t>
  </si>
  <si>
    <t>vendas@pcinetwork.com.br</t>
  </si>
  <si>
    <t>1133621415</t>
  </si>
  <si>
    <t>R GAL OSORIO</t>
  </si>
  <si>
    <t>ALAMEDA RIO NEGRO</t>
  </si>
  <si>
    <t xml:space="preserve">R GAL OSORIO, 322 - CEP: 01213000 -  , ALAMEDA RIO NEGRO, SÃO PAULO/SP </t>
  </si>
  <si>
    <t>TEK ATACADO D DE S E EIRELI - ME</t>
  </si>
  <si>
    <t>27316854000138</t>
  </si>
  <si>
    <t>10.688.179-5</t>
  </si>
  <si>
    <t>vendassp04@ogrupotek.com.br</t>
  </si>
  <si>
    <t>José Henrique Suarez</t>
  </si>
  <si>
    <t>11992730369</t>
  </si>
  <si>
    <t>RUA TC JOAO AIRES</t>
  </si>
  <si>
    <t>175</t>
  </si>
  <si>
    <t>SETOR CENTRAL</t>
  </si>
  <si>
    <t>ANAPOLIS</t>
  </si>
  <si>
    <t>75020310</t>
  </si>
  <si>
    <t>RUA TC JOAO AIRES, 175 - CEP: 75020310 -  , SETOR CENTRAL, ANAPOLIS/GO</t>
  </si>
  <si>
    <t>TEQNIO TECNOLOGIA E SERVICOS - LTDA</t>
  </si>
  <si>
    <t>24.455.530/0002-73</t>
  </si>
  <si>
    <t>206.789.498.110</t>
  </si>
  <si>
    <t>rodrigo@gantech.com.br</t>
  </si>
  <si>
    <t xml:space="preserve">Rodrigo Henrique </t>
  </si>
  <si>
    <t>(11) 96452-0082</t>
  </si>
  <si>
    <t>503</t>
  </si>
  <si>
    <t>SALA 2209-A</t>
  </si>
  <si>
    <t>ALPHAVILLE CENTRO INDUSTRIAL E EMPRESARIAL</t>
  </si>
  <si>
    <t>06.454-000</t>
  </si>
  <si>
    <t xml:space="preserve">ALAMEDA RIO NEGRO, 503 - CEP: 06.454-000 - SALA 2209-A , ALPHAVILLE CENTRO INDUSTRIAL E EMPRESARIAL, BARUERI/SP </t>
  </si>
  <si>
    <t xml:space="preserve">VELANS TELEINFORMATICA LTDA/SP </t>
  </si>
  <si>
    <t>11.406.274/0001-00</t>
  </si>
  <si>
    <t>206.378.949.111</t>
  </si>
  <si>
    <t xml:space="preserve">marcelo.franco@velans.com.br </t>
  </si>
  <si>
    <t>Marcelo Franco</t>
  </si>
  <si>
    <t>11 3874-7160</t>
  </si>
  <si>
    <t>Av. Piraíba</t>
  </si>
  <si>
    <t>352</t>
  </si>
  <si>
    <t>Sala Velans</t>
  </si>
  <si>
    <t xml:space="preserve"> Centro Comercial Jubran</t>
  </si>
  <si>
    <t>06460-121</t>
  </si>
  <si>
    <t xml:space="preserve">Av. Piraíba, 352 - CEP: 06460-121 - Sala Velans ,  Centro Comercial Jubran, BARUERI/SP </t>
  </si>
  <si>
    <t>IFONTECH COMERCIO ELETRONICO LTDA</t>
  </si>
  <si>
    <t>20.834.014/0001-18</t>
  </si>
  <si>
    <t xml:space="preserve">	417620153114</t>
  </si>
  <si>
    <t>contato@ifontech.com.br</t>
  </si>
  <si>
    <t>IFONTECH</t>
  </si>
  <si>
    <t>1930903093</t>
  </si>
  <si>
    <t>Via Guilherme Dibbern</t>
  </si>
  <si>
    <t>3003</t>
  </si>
  <si>
    <t>SALA 16</t>
  </si>
  <si>
    <t>GRAMINHA</t>
  </si>
  <si>
    <t>LIMEIRA</t>
  </si>
  <si>
    <t>13482893</t>
  </si>
  <si>
    <t xml:space="preserve">Via Guilherme Dibbern, 3003 - CEP: 13482893 - SALA 16 , GRAMINHA, LIMEIRA/SP </t>
  </si>
  <si>
    <t>VELANS TELEINFORMATICA LTDA/ES</t>
  </si>
  <si>
    <t>11.406.274/0003-63</t>
  </si>
  <si>
    <t>083.369.33-3</t>
  </si>
  <si>
    <t>Rua Samuel Meira Brasil</t>
  </si>
  <si>
    <t>Conj. C3 parte, B1 a B6 parte, B7 parte a B11</t>
  </si>
  <si>
    <t>Ecopark Serra</t>
  </si>
  <si>
    <t>Taquara II,</t>
  </si>
  <si>
    <t>29167-650</t>
  </si>
  <si>
    <t>Rua Samuel Meira Brasil, 394 - CEP: 29167-650 - Conj. C3 parte, B1 a B6 parte, B7 parte a B11 , Ecopark Serra, Taquara II,/ES</t>
  </si>
  <si>
    <t>Colaborar Comércio de Produtos Eletrônicos Ltda</t>
  </si>
  <si>
    <t>129.399.310.111</t>
  </si>
  <si>
    <t>CONJ 801</t>
  </si>
  <si>
    <t>VILA SAO FRANCISCO (ZONA SUL</t>
  </si>
  <si>
    <t xml:space="preserve">AV DOUTOR CHUCRI ZAIDAN, 1550 - CEP: 04.711-130 - CONJ 801 , VILA SAO FRANCISCO (ZONA SUL, SÃO PAULO/SP </t>
  </si>
  <si>
    <t>Ativa 1 Telecom Ltda - EPP</t>
  </si>
  <si>
    <t xml:space="preserve">Edilene Martins </t>
  </si>
  <si>
    <t>(11) 5585-7771/7772</t>
  </si>
  <si>
    <t>Av. Fagundes Filho</t>
  </si>
  <si>
    <t xml:space="preserve">cj.91 </t>
  </si>
  <si>
    <t>04304-000</t>
  </si>
  <si>
    <t xml:space="preserve">Av. Fagundes Filho, 486 - CEP: 04304-000 - cj.91  , VILA MONTE ALEGRE, São Paulo/SP </t>
  </si>
  <si>
    <t>SOLUTION SHOP PRODUTOS DE TECNOLOGIA LTDA</t>
  </si>
  <si>
    <t>08.404.193/0002-39</t>
  </si>
  <si>
    <t xml:space="preserve">	83562176</t>
  </si>
  <si>
    <t>thales.rossi@ifontech.com.br</t>
  </si>
  <si>
    <t>Thales Rossi</t>
  </si>
  <si>
    <t>3979</t>
  </si>
  <si>
    <t>PLANALTO DE CARAPINA</t>
  </si>
  <si>
    <t>29162703</t>
  </si>
  <si>
    <t>RODOVIA GOVERNADOR MARIO COVAS,  - CEP: 29162703 - 3979 , PLANALTO DE CARAPINA, SERRA/ES</t>
  </si>
  <si>
    <t>JYN TECHNOLOGY SERVICOS E T.I LTDA</t>
  </si>
  <si>
    <t>17.240.690.0001-59</t>
  </si>
  <si>
    <t>financeiro@jyn.com.br</t>
  </si>
  <si>
    <t>(9)8323-0001</t>
  </si>
  <si>
    <t>RUA I</t>
  </si>
  <si>
    <t>0</t>
  </si>
  <si>
    <t>QUADRA 25;LOTE 21</t>
  </si>
  <si>
    <t>ITAPOA</t>
  </si>
  <si>
    <t>APARECIDA DE GOIANIA</t>
  </si>
  <si>
    <t>74.940-490</t>
  </si>
  <si>
    <t>RUA I, 0 - CEP: 74.940-490 - QUADRA 25;LOTE 21 , ITAPOA, APARECIDA DE GOIANIA/GO</t>
  </si>
  <si>
    <t>Flextec - Peças e Equipamentos de Informática Ltda</t>
  </si>
  <si>
    <t>ribamar@fxtec.com.br</t>
  </si>
  <si>
    <t>Jose Ribamar de Sousa</t>
  </si>
  <si>
    <t>(11) 96921-9559</t>
  </si>
  <si>
    <t>(11) 5096-7218</t>
  </si>
  <si>
    <t>1111</t>
  </si>
  <si>
    <t>04617-014</t>
  </si>
  <si>
    <t xml:space="preserve">RUA VIERA DE MORAES, 1111 - CEP: 04617-014 - CJ 1203 , CAMPO BELO, SÃO PAULO/SP </t>
  </si>
  <si>
    <t>UP 2 TECH DO BRASIL EIRELI</t>
  </si>
  <si>
    <t>20.704.757/0001-73</t>
  </si>
  <si>
    <t>financeiro@up2tech.com.b</t>
  </si>
  <si>
    <t>JEFFERSON MELCHIOR</t>
  </si>
  <si>
    <t> (19) 9811-06977 </t>
  </si>
  <si>
    <t>RUA CACIMBA DE AREIA</t>
  </si>
  <si>
    <t>65 </t>
  </si>
  <si>
    <t xml:space="preserve">PARQUE SAO MIGUEL </t>
  </si>
  <si>
    <t>GUARULHOS </t>
  </si>
  <si>
    <t>07.260-170</t>
  </si>
  <si>
    <t xml:space="preserve">RUA CACIMBA DE AREIA, 65  - CEP: 07.260-170 -  , PARQUE SAO MIGUEL , GUARULHOS /SP </t>
  </si>
  <si>
    <t>ODERCO DISTRIBUIDORA DE ELETRONICOS LTDA - 91</t>
  </si>
  <si>
    <t>09.301.845/0001-91</t>
  </si>
  <si>
    <t>luis.cavalcanti@oderco.com.br</t>
  </si>
  <si>
    <t>Luis Filipe Cavalcanti</t>
  </si>
  <si>
    <t>44 2101-1482</t>
  </si>
  <si>
    <t>AV PARANAVAI</t>
  </si>
  <si>
    <t>1906</t>
  </si>
  <si>
    <t xml:space="preserve">PARQUE INDUSTRIAL BANDEIRANTES
</t>
  </si>
  <si>
    <t>MARINGA</t>
  </si>
  <si>
    <t>87.070-130</t>
  </si>
  <si>
    <t>AV PARANAVAI, 1906 - CEP: 87.070-130 -  , PARQUE INDUSTRIAL BANDEIRANTES
, MARINGA/PR</t>
  </si>
  <si>
    <t>TEK ATACADO DISTRIBUIDOR DE SEGURANÇA</t>
  </si>
  <si>
    <t>27316854000308</t>
  </si>
  <si>
    <t>0793473200109</t>
  </si>
  <si>
    <t>QNJ 40 LOTE 07</t>
  </si>
  <si>
    <t>SN</t>
  </si>
  <si>
    <t>SEM COMPLEMENTO</t>
  </si>
  <si>
    <t>TAGUATINGA NORTE</t>
  </si>
  <si>
    <t>BRASILIA</t>
  </si>
  <si>
    <t>DF</t>
  </si>
  <si>
    <t>72140-400</t>
  </si>
  <si>
    <t>QNJ 40 LOTE 07, SN - CEP: 72140-400 - SEM COMPLEMENTO , TAGUATINGA NORTE, BRASILIA/DF</t>
  </si>
  <si>
    <t>ODERCO DISTRIBUIDORA DE ELETRONICOS LTDA - 34</t>
  </si>
  <si>
    <t>09.301.845/0004-34</t>
  </si>
  <si>
    <t xml:space="preserve">082.922.18-7
</t>
  </si>
  <si>
    <t>882</t>
  </si>
  <si>
    <t>SALA 7 - PREDIO ADMINISTRATIVO</t>
  </si>
  <si>
    <t>PADRE MATHIAS</t>
  </si>
  <si>
    <t>CARIACICA</t>
  </si>
  <si>
    <t>29157100</t>
  </si>
  <si>
    <t>RODOVIA GOVERNADOR MARIO COVAS, 882 - CEP: 29157100 - SALA 7 - PREDIO ADMINISTRATIVO , PADRE MATHIAS, CARIACICA/ES</t>
  </si>
  <si>
    <t>EBAZAR.COM.BR. LTDA</t>
  </si>
  <si>
    <t>03.007.331/0001-41</t>
  </si>
  <si>
    <t>AV DAS NACOES UNIDAS 3000</t>
  </si>
  <si>
    <t>PARTE A</t>
  </si>
  <si>
    <t>BONFIM</t>
  </si>
  <si>
    <t>OSASCO</t>
  </si>
  <si>
    <t>06.233-903</t>
  </si>
  <si>
    <t>AV DAS NACOES UNIDAS 3000, 3003 - CEP: 06.233-903 - PARTE A , BONFIM, OSASCO/SP</t>
  </si>
  <si>
    <t>R C NORTH COMERCIO DE EQUIPAMENTOS ELETRONICOS LTDA</t>
  </si>
  <si>
    <t>38.151.495/0001-22</t>
  </si>
  <si>
    <t>53599878611-6</t>
  </si>
  <si>
    <t>   rafaelferraro@lhdtelecom.com.br</t>
  </si>
  <si>
    <t>RAFAEL FERRARO</t>
  </si>
  <si>
    <t>11 2973-3249</t>
  </si>
  <si>
    <t>R JOSE PINTO DE ALMEIDA</t>
  </si>
  <si>
    <t>887</t>
  </si>
  <si>
    <t>APT 101</t>
  </si>
  <si>
    <t>CIDADE ALTA</t>
  </si>
  <si>
    <t>PIRACICABA</t>
  </si>
  <si>
    <t>13.419-000</t>
  </si>
  <si>
    <t xml:space="preserve">R JOSE PINTO DE ALMEIDA, 887 - CEP: 13.419-000 - APT 101 , CIDADE ALTA, PIRACICABA/SP </t>
  </si>
  <si>
    <t>PEÇAS DATA CENTER BRASIL LTDA.</t>
  </si>
  <si>
    <t>32.272.667/0001-30</t>
  </si>
  <si>
    <t>123.370.250.118 </t>
  </si>
  <si>
    <t>fabricio@gpcit.com.br</t>
  </si>
  <si>
    <t>FABRICIO LEAL</t>
  </si>
  <si>
    <t>Av. São Miguel</t>
  </si>
  <si>
    <t>2073</t>
  </si>
  <si>
    <t>PENHA</t>
  </si>
  <si>
    <t xml:space="preserve"> 03619-100</t>
  </si>
  <si>
    <t xml:space="preserve">Av. São Miguel, 2073 - CEP:  03619-100 -  , PENHA, SÃO PAULO/SP </t>
  </si>
  <si>
    <t>General IT Comércio em Telecomunicações LTDA</t>
  </si>
  <si>
    <t>37.030.050/0001-21</t>
  </si>
  <si>
    <t>133430149111</t>
  </si>
  <si>
    <t>bruno.ressel@generalit.com.br</t>
  </si>
  <si>
    <t>BRUNO RESSEL</t>
  </si>
  <si>
    <t>(11) 3109-5321</t>
  </si>
  <si>
    <t>Rua da Paz,  – CJ106</t>
  </si>
  <si>
    <t>1601</t>
  </si>
  <si>
    <t>Chác. Sto. Antonio</t>
  </si>
  <si>
    <t>04713-002</t>
  </si>
  <si>
    <t xml:space="preserve">Rua da Paz,  – CJ106, 1601 - CEP: 04713-002 - N/A , Chác. Sto. Antonio, SÃO PAULO/SP </t>
  </si>
  <si>
    <t>GPC FLASH TECNOLOGIA LTDA</t>
  </si>
  <si>
    <t>32.613.629/0001-01</t>
  </si>
  <si>
    <t>123953501119</t>
  </si>
  <si>
    <t>AV SAO MIGUEL</t>
  </si>
  <si>
    <t>1956</t>
  </si>
  <si>
    <t>APT 102;BLOCO B</t>
  </si>
  <si>
    <t>VILA MARIETA</t>
  </si>
  <si>
    <t>03.619-100</t>
  </si>
  <si>
    <t xml:space="preserve">AV SAO MIGUEL, 1956 - CEP: 03.619-100 - APT 102;BLOCO B , VILA MARIETA, SAO PAULO/SP </t>
  </si>
  <si>
    <t>DYNAMOVA TECNOLOGIA, SOLUCOES E COMERCIO LTDA</t>
  </si>
  <si>
    <t>36.418.323/0001-47</t>
  </si>
  <si>
    <t xml:space="preserve">	127934111110</t>
  </si>
  <si>
    <t>FINANCEIRO@DYNAMOVATI.COM.BR</t>
  </si>
  <si>
    <t>RONE SANTANA</t>
  </si>
  <si>
    <t>55 11 5026-6547</t>
  </si>
  <si>
    <t>55 11 94077-4028</t>
  </si>
  <si>
    <t>AV SALGADO FILHO</t>
  </si>
  <si>
    <t>2120</t>
  </si>
  <si>
    <t>SALA 2301C</t>
  </si>
  <si>
    <t>CENTRO</t>
  </si>
  <si>
    <t>GUARULHOS</t>
  </si>
  <si>
    <t>07.115-000</t>
  </si>
  <si>
    <t xml:space="preserve">AV SALGADO FILHO, 2120 - CEP: 07.115-000 - SALA 2301C , CENTRO, GUARULHOS/SP </t>
  </si>
  <si>
    <t>GIGA TELECOM COMERCIO E MANUTENCAO EM TELEFONIA LTDA</t>
  </si>
  <si>
    <t>05.927.524/0001-46</t>
  </si>
  <si>
    <t>10729090043</t>
  </si>
  <si>
    <t>hudson@gigatelecom.com.br</t>
  </si>
  <si>
    <t>Hudson</t>
  </si>
  <si>
    <t>(31) 98689-3540</t>
  </si>
  <si>
    <t>(31) 3411-1919</t>
  </si>
  <si>
    <t>R MACHADO NUNES</t>
  </si>
  <si>
    <t>116</t>
  </si>
  <si>
    <t>SALA 301 B</t>
  </si>
  <si>
    <t>ALTO CAICARAS</t>
  </si>
  <si>
    <t>BELO HORIZONTE</t>
  </si>
  <si>
    <t>30.775-530</t>
  </si>
  <si>
    <t>R MACHADO NUNES, 116 - CEP: 30.775-530 - SALA 301 B , ALTO CAICARAS, BELO HORIZONTE/MG</t>
  </si>
  <si>
    <t>DISTCOM BRASIL S.A.</t>
  </si>
  <si>
    <t>50.946.384/0002-99</t>
  </si>
  <si>
    <t>84184876</t>
  </si>
  <si>
    <t>cristiana.bagano@distcom.com.br</t>
  </si>
  <si>
    <t xml:space="preserve">Cristiana Bagano </t>
  </si>
  <si>
    <t>11 3328-3947</t>
  </si>
  <si>
    <t>ROD GOVERNADOR MARIO COVAS</t>
  </si>
  <si>
    <t>KM 279</t>
  </si>
  <si>
    <t>SALA 06</t>
  </si>
  <si>
    <t>JACUHY</t>
  </si>
  <si>
    <t>29.161-230</t>
  </si>
  <si>
    <t>ROD GOVERNADOR MARIO COVAS, KM 279 - CEP: 29.161-230 - SALA 06 , JACUHY, SERRA/ES</t>
  </si>
  <si>
    <t>TEK ATACADO DISTRIBUIDOR DE SEGURANCA ELETRONICA LTDA</t>
  </si>
  <si>
    <t>27.316.854/0004-80</t>
  </si>
  <si>
    <t>83926909</t>
  </si>
  <si>
    <t xml:space="preserve">José Henrique Suarez </t>
  </si>
  <si>
    <t>11 99273-0369</t>
  </si>
  <si>
    <t>ROD GOVERNADOR MARIO COVAS, 1941</t>
  </si>
  <si>
    <t>KM 281 SALA 37 GALPAO001 MODULOS 10 A 14</t>
  </si>
  <si>
    <t xml:space="preserve">ES </t>
  </si>
  <si>
    <t>29.158-900</t>
  </si>
  <si>
    <t>ROD GOVERNADOR MARIO COVAS, 1941 SN KM 281 SALA 37 GALPAO001 MODULOS 10 A 14 PADRE MATHIAS CARIACICA ES 29.158-900</t>
  </si>
  <si>
    <t>GPC IT BRASIL INFORMATICA LTDA</t>
  </si>
  <si>
    <t>30.351.089/0001-00</t>
  </si>
  <si>
    <t>119390960118</t>
  </si>
  <si>
    <t>fabricio@gpcit.vom.br</t>
  </si>
  <si>
    <t xml:space="preserve">Fabricio Leal </t>
  </si>
  <si>
    <t>(11) 97885-4552</t>
  </si>
  <si>
    <t>(11) 2640-9724</t>
  </si>
  <si>
    <t>AV S MIGUEL 2097</t>
  </si>
  <si>
    <t>2097</t>
  </si>
  <si>
    <t>SLJ 2103</t>
  </si>
  <si>
    <t>AV S MIGUEL 2097 SLJ 2103 VILA MARIETA SAO PAULO SP 03.619-100</t>
  </si>
  <si>
    <t>ORACLE DO BRASIL SISTEMAS LTDA</t>
  </si>
  <si>
    <t>59.456.277/0001-76</t>
  </si>
  <si>
    <t>114067308110</t>
  </si>
  <si>
    <t>eduardo.porto@oracle.com</t>
  </si>
  <si>
    <t>Eduardo Porto</t>
  </si>
  <si>
    <t xml:space="preserve">61 99966-3855 </t>
  </si>
  <si>
    <t>Av. João Pedro Cardoso</t>
  </si>
  <si>
    <t>455</t>
  </si>
  <si>
    <t>ANEXO MORUMBI BUSINESS CEN</t>
  </si>
  <si>
    <t>SANTO AMARO</t>
  </si>
  <si>
    <t>04.710-090</t>
  </si>
  <si>
    <t>R DR JOSE AUREO BUSTAMANTE 455 ANEXO MORUMBI BUSINESS CEN SANTO AMARO SAO PAULO SP 04.710-090</t>
  </si>
  <si>
    <t>11 992730369</t>
  </si>
  <si>
    <t xml:space="preserve">ROD Governador Mario Covas </t>
  </si>
  <si>
    <t>1941</t>
  </si>
  <si>
    <t>KM 281 - GALPÃO 001 MODULOS 10 A 14</t>
  </si>
  <si>
    <t xml:space="preserve">PADRE ATHIAS </t>
  </si>
  <si>
    <t xml:space="preserve">CARIACICA </t>
  </si>
  <si>
    <t>29158-900</t>
  </si>
  <si>
    <t>ROD GOVERNADOR MARIO COVAS 1941, KM 281 SALA 37 GALPÃO 0001 MOULOS 10 A 14 - PADRE MATHIAS - CARIACICA- ES  - 29158900</t>
  </si>
  <si>
    <t xml:space="preserve">TOSHIBA GLOBAL COMERCIO DE SOLUCOES PARA VAREJO </t>
  </si>
  <si>
    <t>15.372.542/0001-62</t>
  </si>
  <si>
    <t>206535886111</t>
  </si>
  <si>
    <t xml:space="preserve">
Fabiano.gil@toshibagcs.com</t>
  </si>
  <si>
    <t xml:space="preserve">11 971697160 </t>
  </si>
  <si>
    <t>AL RIO NEGRO</t>
  </si>
  <si>
    <t>500</t>
  </si>
  <si>
    <t>CONJ 815 ANDAR 8 TORRE A EDIF WEST TOWERS</t>
  </si>
  <si>
    <t>ALPHAVILLE CENTRO INDUSTRIAL E EMPRESARIAL/ALPHAVI</t>
  </si>
  <si>
    <t>AL RIO NEGRO,500,CONJ 815 ANDAR 8 TORRE A EDIF WEST TOWERS,ALPHAVILLE CENTRO INDUSTRIAL E EMPRESARIAL/ALPHAVI,BARUERI,06.454-000</t>
  </si>
  <si>
    <t>AGIS EQUIPAMENTOS E SERVICOS DE INFORMATICA LTDA.</t>
  </si>
  <si>
    <t>68.993.641/0001-28</t>
  </si>
  <si>
    <t>68.993.641/0001-29</t>
  </si>
  <si>
    <t>lucas.marsulo@agis.com.br</t>
  </si>
  <si>
    <t>LUCAS MARSULO</t>
  </si>
  <si>
    <t>(19) 3759 4592</t>
  </si>
  <si>
    <t>R DONA CATHARINA MARIA DE JESUS 418</t>
  </si>
  <si>
    <t>418</t>
  </si>
  <si>
    <t>BLOCO MOD 01 AO 06 BTG LOGSALA 37</t>
  </si>
  <si>
    <t>BOM SUCESSO</t>
  </si>
  <si>
    <t>07175-500</t>
  </si>
  <si>
    <t>R DONA CATHARINA MARIA DE JESUS,418,BLOCO MOD 01 AO 06 BTG LOGSALA 37,07.175-500,BONSUCESSO,GUARULHOS,SP</t>
  </si>
  <si>
    <t xml:space="preserve">teste 2 </t>
  </si>
  <si>
    <t>R DONA CATHARINA MARIA DE JESUS 419</t>
  </si>
  <si>
    <t>419</t>
  </si>
  <si>
    <t>BLOCO MOD 01 AO 06 BTG LOGSALA 38</t>
  </si>
  <si>
    <t>07175-501</t>
  </si>
  <si>
    <t>EMPRESA SERVER ON TECNOLOGIA E SERVICOS LTDA</t>
  </si>
  <si>
    <t>35.249.492/0001-38</t>
  </si>
  <si>
    <t>136895462117</t>
  </si>
  <si>
    <t>michel.pereira@server-on.com.br</t>
  </si>
  <si>
    <t>Michael Pereira</t>
  </si>
  <si>
    <t>(11) 4395 - 8045</t>
  </si>
  <si>
    <t>(11) 94533 - 5740</t>
  </si>
  <si>
    <t>RUA DR ALTAIR MARTINS</t>
  </si>
  <si>
    <t>48</t>
  </si>
  <si>
    <t>SALAO02</t>
  </si>
  <si>
    <t xml:space="preserve">JARDIM MARIA AUGUSTA </t>
  </si>
  <si>
    <t>05.546-150</t>
  </si>
  <si>
    <t>R DR ALTAIR MARTINS, 48, JARDIM MARIA AUGUSTA, SAO PAULO, 05.546-149</t>
  </si>
  <si>
    <t>INFORMATICA MAIS TECNOLOGIA LTDA</t>
  </si>
  <si>
    <t>29.807.795/0001-26</t>
  </si>
  <si>
    <t>133197630115</t>
  </si>
  <si>
    <t>R DR ALTAIR MARTINS</t>
  </si>
  <si>
    <t>JARDIM MARIA AUGUSTA</t>
  </si>
  <si>
    <t>R DR ALTAIR MARTINS, 48, JARDIM MARIA AUGUSTA, SAO PAULO, 05.546-150</t>
  </si>
  <si>
    <t>CENTRAL NETWORK COMERCIAL - EIRELI</t>
  </si>
  <si>
    <t>07.284.035/0001-49</t>
  </si>
  <si>
    <t>117.008.038.117</t>
  </si>
  <si>
    <t>leonardo@centralcabos.com.br</t>
  </si>
  <si>
    <t xml:space="preserve">Leonardo Antônio </t>
  </si>
  <si>
    <t>(11) 3334-3710</t>
  </si>
  <si>
    <t xml:space="preserve">(11) 3334-3713 </t>
  </si>
  <si>
    <t>Rua Aurora</t>
  </si>
  <si>
    <t>Santa Efigênia - São Paulo / SP</t>
  </si>
  <si>
    <t>Santa Efigênia</t>
  </si>
  <si>
    <t>01209-000</t>
  </si>
  <si>
    <t>Rua Aurora 48 01209-000 Santa Efigênia - São Paulo / SP</t>
  </si>
  <si>
    <t>NEXUS LOGISTICA E TRANSPORTES LTDA</t>
  </si>
  <si>
    <t>08.205.713/0001-01</t>
  </si>
  <si>
    <t>149.372.677.115</t>
  </si>
  <si>
    <t>RUA DOUTOR EDGARD THEOTONIO SANTANA</t>
  </si>
  <si>
    <t>158</t>
  </si>
  <si>
    <t>PQ INDL THOMAS EDSON</t>
  </si>
  <si>
    <t>PARQUE INDUSTRIAL TOMAS EDSON</t>
  </si>
  <si>
    <t>01.140-030</t>
  </si>
  <si>
    <t>RUA DOUTOR EDGARD THEOTONIO SANTANA, 158 - CEP: 01.140-030 - PQ INDL THOMAS EDSON , PARQUE INDUSTRIAL TOMAS EDSON, SAO PAULO/SP</t>
  </si>
  <si>
    <t>J.B.M COMERCIO DE ELETRONICOS LTDA</t>
  </si>
  <si>
    <t>56.948.744/0001-97</t>
  </si>
  <si>
    <t>150575736114</t>
  </si>
  <si>
    <t>mailto:abetez@universal.org</t>
  </si>
  <si>
    <t>AV PAULISTA</t>
  </si>
  <si>
    <t>1471</t>
  </si>
  <si>
    <t>CONJ 1110 CXPST 1528</t>
  </si>
  <si>
    <t>BELA VISTA</t>
  </si>
  <si>
    <t>01.311-927</t>
  </si>
  <si>
    <t>AV PAULISTA, 1471 - CEP: 01.311-927 - CONJ 1110 CXPST 1528 , BELA VISTA, SÃO PAULO/SP</t>
  </si>
  <si>
    <t>SOB SCHURTER + OKW DO BRASIL COMPONENTES ELETRONICOS LTDA.</t>
  </si>
  <si>
    <t>080752900001-44</t>
  </si>
  <si>
    <t>149314506113</t>
  </si>
  <si>
    <t xml:space="preserve">RUA BARAO DO TRIUNFO </t>
  </si>
  <si>
    <t>88</t>
  </si>
  <si>
    <t>SL606</t>
  </si>
  <si>
    <t>04602-000</t>
  </si>
  <si>
    <t>RUA BARAO DO TRIUNFO , 88 - CEP: 04602-000 - SL606 , SÃO PAULO, SÃO PAULO/SP</t>
  </si>
  <si>
    <t>SKU</t>
  </si>
  <si>
    <t>PARTNUMBER</t>
  </si>
  <si>
    <t>Q9Y59AAE</t>
  </si>
  <si>
    <t>HP9W2E</t>
  </si>
  <si>
    <t>18 do 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</si>
</sst>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/m/yyyy"/>
    <numFmt numFmtId="165" formatCode="&quot;R$&quot;\ #,##0.00"/>
  </numFmts>
  <fonts count="2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33CC"/>
      <name val="Arial"/>
      <family val="2"/>
      <charset val="1"/>
    </font>
    <font>
      <sz val="11"/>
      <color rgb="FF0033CC"/>
      <name val="Arial"/>
      <family val="2"/>
    </font>
    <font>
      <sz val="11"/>
      <color theme="1"/>
      <name val="Arial"/>
      <family val="2"/>
      <charset val="1"/>
    </font>
    <font>
      <sz val="11"/>
      <color theme="4" tint="-0.499984740745262"/>
      <name val="Arial"/>
      <family val="2"/>
    </font>
    <font>
      <b/>
      <sz val="11"/>
      <color rgb="FFFF0000"/>
      <name val="Arial"/>
      <family val="2"/>
    </font>
    <font>
      <u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rgb="FF0033CC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sz val="11"/>
      <color rgb="FF242424"/>
      <name val="Inherit"/>
    </font>
    <font>
      <u/>
      <sz val="11"/>
      <color theme="10"/>
      <name val="Calibri"/>
      <family val="2"/>
      <scheme val="minor"/>
    </font>
    <font>
      <b/>
      <sz val="10"/>
      <color rgb="FF0033CC"/>
      <name val="Arial"/>
      <family val="2"/>
      <charset val="1"/>
    </font>
    <font>
      <b/>
      <sz val="10"/>
      <color rgb="FFFF0000"/>
      <name val="Arial"/>
      <family val="2"/>
    </font>
    <font>
      <sz val="11"/>
      <color theme="1"/>
      <name val="Inherit"/>
    </font>
    <font>
      <b/>
      <u/>
      <sz val="11"/>
      <color rgb="FFFF0000"/>
      <name val="Arial Narrow"/>
      <family val="2"/>
    </font>
    <font>
      <sz val="14"/>
      <color rgb="FF002060"/>
      <name val="Arial Narrow"/>
      <family val="2"/>
    </font>
    <font>
      <b/>
      <sz val="14"/>
      <color rgb="FFFF0000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b/>
      <sz val="11"/>
      <color rgb="FF002060"/>
      <name val="Arial"/>
      <family val="2"/>
    </font>
    <font>
      <b/>
      <sz val="12"/>
      <color theme="0"/>
      <name val="Arial"/>
      <family val="2"/>
    </font>
    <font>
      <b/>
      <sz val="10"/>
      <color rgb="FF0033CC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35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ck">
        <color theme="0" tint="-4.9989318521683403E-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ck">
        <color theme="0" tint="-4.9989318521683403E-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1" tint="0.499984740745262"/>
      </right>
      <top/>
      <bottom style="thin">
        <color theme="0" tint="-4.9989318521683403E-2"/>
      </bottom>
      <diagonal/>
    </border>
    <border>
      <left style="thin">
        <color theme="1" tint="0.49998474074526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1" tint="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/>
      <top/>
      <bottom style="thin">
        <color theme="0" tint="-4.9989318521683403E-2"/>
      </bottom>
      <diagonal/>
    </border>
    <border>
      <left style="thick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1" tint="0.4998931852168340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1" tint="0.49998474074526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1" tint="0.49998474074526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0" tint="-4.9989318521683403E-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1" tint="0.499984740745262"/>
      </top>
      <bottom style="thin">
        <color theme="0" tint="-0.34998626667073579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5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49" fontId="3" fillId="3" borderId="0" xfId="0" applyNumberFormat="1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164" fontId="3" fillId="3" borderId="0" xfId="0" applyNumberFormat="1" applyFont="1" applyFill="1" applyAlignment="1" applyProtection="1">
      <alignment horizontal="left" vertical="center"/>
      <protection locked="0"/>
    </xf>
    <xf numFmtId="14" fontId="4" fillId="2" borderId="0" xfId="0" applyNumberFormat="1" applyFont="1" applyFill="1" applyAlignment="1">
      <alignment horizontal="left" vertical="center" wrapText="1"/>
    </xf>
    <xf numFmtId="14" fontId="4" fillId="2" borderId="0" xfId="0" applyNumberFormat="1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 applyProtection="1">
      <alignment horizontal="left" vertical="center"/>
      <protection locked="0"/>
    </xf>
    <xf numFmtId="0" fontId="7" fillId="4" borderId="5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0" fillId="2" borderId="14" xfId="0" applyFont="1" applyFill="1" applyBorder="1" applyAlignment="1" applyProtection="1">
      <alignment vertical="center"/>
      <protection locked="0"/>
    </xf>
    <xf numFmtId="0" fontId="1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49" fontId="10" fillId="2" borderId="15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 wrapText="1"/>
    </xf>
    <xf numFmtId="0" fontId="10" fillId="2" borderId="11" xfId="0" applyFont="1" applyFill="1" applyBorder="1" applyAlignment="1">
      <alignment horizontal="left" vertical="center"/>
    </xf>
    <xf numFmtId="0" fontId="13" fillId="0" borderId="16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vertical="center"/>
    </xf>
    <xf numFmtId="0" fontId="14" fillId="2" borderId="11" xfId="0" applyFont="1" applyFill="1" applyBorder="1" applyAlignment="1" applyProtection="1">
      <alignment horizontal="left" vertical="center"/>
      <protection locked="0"/>
    </xf>
    <xf numFmtId="0" fontId="1" fillId="0" borderId="16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 applyProtection="1">
      <alignment horizontal="left" vertical="center"/>
      <protection locked="0"/>
    </xf>
    <xf numFmtId="1" fontId="3" fillId="3" borderId="11" xfId="0" applyNumberFormat="1" applyFont="1" applyFill="1" applyBorder="1" applyAlignment="1" applyProtection="1">
      <alignment horizontal="left" vertical="center"/>
      <protection locked="0"/>
    </xf>
    <xf numFmtId="1" fontId="10" fillId="3" borderId="11" xfId="0" applyNumberFormat="1" applyFont="1" applyFill="1" applyBorder="1" applyAlignment="1" applyProtection="1">
      <alignment horizontal="left" vertical="center"/>
      <protection locked="0"/>
    </xf>
    <xf numFmtId="0" fontId="17" fillId="0" borderId="16" xfId="0" applyFont="1" applyBorder="1" applyAlignment="1">
      <alignment horizontal="center"/>
    </xf>
    <xf numFmtId="0" fontId="18" fillId="3" borderId="11" xfId="0" applyFont="1" applyFill="1" applyBorder="1" applyAlignment="1">
      <alignment horizontal="left" vertical="center"/>
    </xf>
    <xf numFmtId="0" fontId="14" fillId="3" borderId="11" xfId="0" applyFont="1" applyFill="1" applyBorder="1" applyAlignment="1" applyProtection="1">
      <alignment horizontal="left" vertical="center"/>
      <protection locked="0"/>
    </xf>
    <xf numFmtId="0" fontId="2" fillId="2" borderId="10" xfId="0" applyFont="1" applyFill="1" applyBorder="1" applyAlignment="1">
      <alignment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/>
    </xf>
    <xf numFmtId="0" fontId="21" fillId="7" borderId="0" xfId="0" applyFont="1" applyFill="1" applyAlignment="1">
      <alignment vertical="center"/>
    </xf>
    <xf numFmtId="0" fontId="22" fillId="7" borderId="0" xfId="0" applyFont="1" applyFill="1" applyAlignment="1">
      <alignment horizontal="left"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wrapText="1" shrinkToFit="1"/>
    </xf>
    <xf numFmtId="0" fontId="9" fillId="5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165" fontId="1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43" fontId="1" fillId="0" borderId="0" xfId="0" applyNumberFormat="1" applyFont="1" applyAlignment="1" applyProtection="1">
      <alignment vertical="center"/>
      <protection locked="0"/>
    </xf>
    <xf numFmtId="165" fontId="1" fillId="2" borderId="27" xfId="0" applyNumberFormat="1" applyFont="1" applyFill="1" applyBorder="1" applyAlignment="1" applyProtection="1">
      <alignment horizontal="center" vertical="center"/>
      <protection locked="0"/>
    </xf>
    <xf numFmtId="165" fontId="1" fillId="2" borderId="28" xfId="0" applyNumberFormat="1" applyFont="1" applyFill="1" applyBorder="1" applyAlignment="1" applyProtection="1">
      <alignment vertical="center"/>
      <protection locked="0"/>
    </xf>
    <xf numFmtId="165" fontId="1" fillId="2" borderId="24" xfId="0" applyNumberFormat="1" applyFont="1" applyFill="1" applyBorder="1" applyAlignment="1" applyProtection="1">
      <alignment horizontal="center" vertical="center"/>
      <protection locked="0"/>
    </xf>
    <xf numFmtId="165" fontId="1" fillId="2" borderId="25" xfId="0" applyNumberFormat="1" applyFont="1" applyFill="1" applyBorder="1" applyAlignment="1" applyProtection="1">
      <alignment vertical="center"/>
      <protection locked="0"/>
    </xf>
    <xf numFmtId="0" fontId="1" fillId="2" borderId="29" xfId="0" applyFont="1" applyFill="1" applyBorder="1" applyAlignment="1" applyProtection="1">
      <alignment horizontal="center" vertical="center"/>
      <protection locked="0"/>
    </xf>
    <xf numFmtId="0" fontId="1" fillId="2" borderId="30" xfId="0" applyFont="1" applyFill="1" applyBorder="1" applyAlignment="1" applyProtection="1">
      <alignment horizontal="center" vertical="center"/>
      <protection locked="0"/>
    </xf>
    <xf numFmtId="165" fontId="1" fillId="2" borderId="29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29" xfId="0" applyNumberFormat="1" applyFont="1" applyFill="1" applyBorder="1" applyAlignment="1" applyProtection="1">
      <alignment horizontal="center" vertical="center"/>
      <protection locked="0"/>
    </xf>
    <xf numFmtId="165" fontId="1" fillId="2" borderId="30" xfId="0" applyNumberFormat="1" applyFont="1" applyFill="1" applyBorder="1" applyAlignment="1" applyProtection="1">
      <alignment horizontal="center" vertical="center"/>
      <protection locked="0"/>
    </xf>
    <xf numFmtId="165" fontId="1" fillId="2" borderId="31" xfId="0" applyNumberFormat="1" applyFont="1" applyFill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3" fontId="23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5" fillId="3" borderId="18" xfId="0" applyFont="1" applyFill="1" applyBorder="1" applyAlignment="1" applyProtection="1">
      <alignment horizontal="left" vertical="center"/>
      <protection locked="0"/>
    </xf>
    <xf numFmtId="0" fontId="16" fillId="2" borderId="19" xfId="0" applyFont="1" applyFill="1" applyBorder="1" applyAlignment="1" applyProtection="1">
      <alignment horizontal="left" vertical="top" wrapText="1"/>
      <protection locked="0"/>
    </xf>
    <xf numFmtId="0" fontId="16" fillId="2" borderId="17" xfId="0" applyFont="1" applyFill="1" applyBorder="1" applyAlignment="1" applyProtection="1">
      <alignment horizontal="left" vertical="top"/>
      <protection locked="0"/>
    </xf>
    <xf numFmtId="0" fontId="16" fillId="2" borderId="20" xfId="0" applyFont="1" applyFill="1" applyBorder="1" applyAlignment="1" applyProtection="1">
      <alignment horizontal="left" vertical="top"/>
      <protection locked="0"/>
    </xf>
    <xf numFmtId="0" fontId="16" fillId="2" borderId="6" xfId="0" applyFont="1" applyFill="1" applyBorder="1" applyAlignment="1" applyProtection="1">
      <alignment horizontal="left" vertical="top"/>
      <protection locked="0"/>
    </xf>
    <xf numFmtId="0" fontId="16" fillId="2" borderId="0" xfId="0" applyFont="1" applyFill="1" applyAlignment="1" applyProtection="1">
      <alignment horizontal="left" vertical="top"/>
      <protection locked="0"/>
    </xf>
    <xf numFmtId="0" fontId="16" fillId="2" borderId="7" xfId="0" applyFont="1" applyFill="1" applyBorder="1" applyAlignment="1" applyProtection="1">
      <alignment horizontal="left" vertical="top"/>
      <protection locked="0"/>
    </xf>
    <xf numFmtId="0" fontId="16" fillId="2" borderId="15" xfId="0" applyFont="1" applyFill="1" applyBorder="1" applyAlignment="1" applyProtection="1">
      <alignment horizontal="left" vertical="top"/>
      <protection locked="0"/>
    </xf>
    <xf numFmtId="0" fontId="16" fillId="2" borderId="8" xfId="0" applyFont="1" applyFill="1" applyBorder="1" applyAlignment="1" applyProtection="1">
      <alignment horizontal="left" vertical="top"/>
      <protection locked="0"/>
    </xf>
    <xf numFmtId="0" fontId="16" fillId="2" borderId="9" xfId="0" applyFont="1" applyFill="1" applyBorder="1" applyAlignment="1" applyProtection="1">
      <alignment horizontal="left" vertical="top"/>
      <protection locked="0"/>
    </xf>
    <xf numFmtId="0" fontId="19" fillId="2" borderId="19" xfId="0" applyFont="1" applyFill="1" applyBorder="1" applyAlignment="1" applyProtection="1">
      <alignment horizontal="left" vertical="top" wrapText="1"/>
      <protection locked="0"/>
    </xf>
    <xf numFmtId="0" fontId="20" fillId="2" borderId="17" xfId="0" applyFont="1" applyFill="1" applyBorder="1" applyAlignment="1" applyProtection="1">
      <alignment horizontal="left" vertical="top"/>
      <protection locked="0"/>
    </xf>
    <xf numFmtId="0" fontId="20" fillId="2" borderId="20" xfId="0" applyFont="1" applyFill="1" applyBorder="1" applyAlignment="1" applyProtection="1">
      <alignment horizontal="left" vertical="top"/>
      <protection locked="0"/>
    </xf>
    <xf numFmtId="0" fontId="20" fillId="2" borderId="6" xfId="0" applyFont="1" applyFill="1" applyBorder="1" applyAlignment="1" applyProtection="1">
      <alignment horizontal="left" vertical="top"/>
      <protection locked="0"/>
    </xf>
    <xf numFmtId="0" fontId="20" fillId="2" borderId="0" xfId="0" applyFont="1" applyFill="1" applyAlignment="1" applyProtection="1">
      <alignment horizontal="left" vertical="top"/>
      <protection locked="0"/>
    </xf>
    <xf numFmtId="0" fontId="20" fillId="2" borderId="7" xfId="0" applyFont="1" applyFill="1" applyBorder="1" applyAlignment="1" applyProtection="1">
      <alignment horizontal="left" vertical="top"/>
      <protection locked="0"/>
    </xf>
    <xf numFmtId="0" fontId="20" fillId="2" borderId="15" xfId="0" applyFont="1" applyFill="1" applyBorder="1" applyAlignment="1" applyProtection="1">
      <alignment horizontal="left" vertical="top"/>
      <protection locked="0"/>
    </xf>
    <xf numFmtId="0" fontId="20" fillId="2" borderId="8" xfId="0" applyFont="1" applyFill="1" applyBorder="1" applyAlignment="1" applyProtection="1">
      <alignment horizontal="left" vertical="top"/>
      <protection locked="0"/>
    </xf>
    <xf numFmtId="0" fontId="20" fillId="2" borderId="9" xfId="0" applyFont="1" applyFill="1" applyBorder="1" applyAlignment="1" applyProtection="1">
      <alignment horizontal="left" vertical="top"/>
      <protection locked="0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44" fontId="23" fillId="8" borderId="32" xfId="0" applyNumberFormat="1" applyFont="1" applyFill="1" applyBorder="1" applyAlignment="1" applyProtection="1">
      <alignment horizontal="center" vertical="center"/>
      <protection locked="0"/>
    </xf>
    <xf numFmtId="44" fontId="23" fillId="8" borderId="33" xfId="0" applyNumberFormat="1" applyFont="1" applyFill="1" applyBorder="1" applyAlignment="1" applyProtection="1">
      <alignment horizontal="center" vertical="center"/>
      <protection locked="0"/>
    </xf>
    <xf numFmtId="43" fontId="23" fillId="0" borderId="0" xfId="0" applyNumberFormat="1" applyFont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10" fillId="2" borderId="8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vertical="center"/>
    </xf>
    <xf numFmtId="0" fontId="1" fillId="2" borderId="34" xfId="0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left" vertical="center"/>
      <protection locked="0"/>
    </xf>
    <xf numFmtId="0" fontId="10" fillId="2" borderId="11" xfId="0" applyFont="1" applyFill="1" applyBorder="1" applyAlignment="1" applyProtection="1">
      <alignment horizontal="left" vertical="center"/>
      <protection locked="0"/>
    </xf>
    <xf numFmtId="0" fontId="14" fillId="2" borderId="11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1038224</xdr:colOff>
      <xdr:row>0</xdr:row>
      <xdr:rowOff>0</xdr:rowOff>
    </xdr:from>
    <xdr:to>
      <xdr:col>5</xdr:col>
      <xdr:colOff>1476375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necedores" displayName="Fornecedores" ref="A1:O89" headerRowCount="0">
  <tableColumns count="1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financeiro@interatell.com.br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K1000"/>
  <sheetViews>
    <sheetView showGridLines="0" tabSelected="1" topLeftCell="F11" zoomScaleNormal="100" workbookViewId="0">
      <selection activeCell="K11" sqref="K11"/>
    </sheetView>
  </sheetViews>
  <sheetFormatPr defaultColWidth="9.140625" defaultRowHeight="14.25" customHeight="1"/>
  <cols>
    <col min="1" max="2" width="21.42578125" style="1" customWidth="1"/>
    <col min="3" max="3" width="26" style="1" customWidth="1"/>
    <col min="4" max="4" width="16" style="2" customWidth="1"/>
    <col min="5" max="5" width="16" style="1" customWidth="1"/>
    <col min="6" max="6" width="34.28515625" style="1" customWidth="1"/>
    <col min="7" max="7" width="15" style="3" customWidth="1"/>
    <col min="8" max="8" width="26.7109375" style="1" customWidth="1"/>
    <col min="9" max="9" width="14.5703125" style="1" customWidth="1"/>
    <col min="10" max="10" width="37.42578125" style="1" customWidth="1"/>
    <col min="11" max="11" width="16.85546875" style="2" customWidth="1"/>
    <col min="12" max="12" width="12.28515625" style="1" customWidth="1"/>
    <col min="13" max="13" width="15.28515625" style="3" customWidth="1"/>
    <col min="14" max="16" width="15.28515625" style="1" customWidth="1"/>
    <col min="17" max="17" width="25.140625" style="4" hidden="1" customWidth="1"/>
    <col min="18" max="19" width="24" style="4" hidden="1" customWidth="1"/>
    <col min="20" max="21" width="9.140625" style="4" customWidth="1"/>
    <col min="22" max="22" width="71.85546875" style="4" hidden="1" customWidth="1"/>
    <col min="23" max="23" width="19.140625" style="4" hidden="1" customWidth="1"/>
    <col min="24" max="24" width="15.5703125" style="4" hidden="1" customWidth="1"/>
    <col min="25" max="25" width="27" style="4" hidden="1" customWidth="1"/>
    <col min="26" max="26" width="18.28515625" style="4" hidden="1" customWidth="1"/>
    <col min="27" max="28" width="20.5703125" style="4" hidden="1" customWidth="1"/>
    <col min="29" max="29" width="20.7109375" style="4" hidden="1" customWidth="1"/>
    <col min="30" max="30" width="18.28515625" style="4" hidden="1" customWidth="1"/>
    <col min="31" max="31" width="25" style="4" hidden="1" customWidth="1"/>
    <col min="32" max="32" width="29.5703125" style="4" hidden="1" customWidth="1"/>
    <col min="33" max="33" width="18.42578125" style="4" hidden="1" customWidth="1"/>
    <col min="34" max="34" width="18.5703125" style="4" hidden="1" customWidth="1"/>
    <col min="35" max="35" width="23" style="4" hidden="1" customWidth="1"/>
    <col min="36" max="36" width="16.140625" style="4" hidden="1" customWidth="1"/>
    <col min="37" max="37" width="18.42578125" style="5" hidden="1" customWidth="1"/>
    <col min="38" max="38" width="9.140625" style="4" customWidth="1"/>
    <col min="39" max="16384" width="9.140625" style="4"/>
  </cols>
  <sheetData>
    <row r="1" spans="1:37" s="1" customFormat="1" ht="14.25" customHeight="1">
      <c r="A1" s="6"/>
      <c r="B1" s="7"/>
      <c r="C1" s="7"/>
      <c r="D1" s="8"/>
      <c r="E1" s="7"/>
      <c r="F1" s="7"/>
      <c r="G1" s="9"/>
      <c r="H1" s="9"/>
      <c r="I1" s="10"/>
      <c r="J1" s="7"/>
      <c r="K1" s="7"/>
      <c r="L1" s="9"/>
      <c r="M1" s="7"/>
      <c r="N1" s="7"/>
      <c r="O1" s="7"/>
      <c r="P1" s="11"/>
      <c r="AK1" s="2"/>
    </row>
    <row r="2" spans="1:37" s="1" customFormat="1" ht="15.75" customHeight="1">
      <c r="A2" s="12"/>
      <c r="B2" s="146"/>
      <c r="C2" s="13"/>
      <c r="D2" s="14"/>
      <c r="E2" s="13"/>
      <c r="F2" s="13"/>
      <c r="G2" s="15"/>
      <c r="H2" s="15"/>
      <c r="I2" s="112" t="s">
        <v>0</v>
      </c>
      <c r="J2" s="113"/>
      <c r="K2" s="17"/>
      <c r="L2" s="18"/>
      <c r="M2" s="19"/>
      <c r="N2" s="13"/>
      <c r="O2" s="13"/>
      <c r="P2" s="20"/>
      <c r="AK2" s="2"/>
    </row>
    <row r="3" spans="1:37" s="1" customFormat="1" ht="15.75" customHeight="1">
      <c r="A3" s="12"/>
      <c r="B3" s="146"/>
      <c r="C3" s="13"/>
      <c r="D3" s="14"/>
      <c r="E3" s="13"/>
      <c r="F3" s="13"/>
      <c r="G3" s="15"/>
      <c r="H3" s="15"/>
      <c r="I3" s="112" t="s">
        <v>2</v>
      </c>
      <c r="J3" s="113"/>
      <c r="K3" s="21"/>
      <c r="L3" s="22"/>
      <c r="M3" s="23"/>
      <c r="N3" s="13"/>
      <c r="O3" s="13"/>
      <c r="P3" s="20"/>
      <c r="AK3" s="2"/>
    </row>
    <row r="4" spans="1:37" s="1" customFormat="1" ht="15.75" customHeight="1">
      <c r="A4" s="24"/>
      <c r="B4" s="147"/>
      <c r="C4" s="13"/>
      <c r="D4" s="14"/>
      <c r="E4" s="13"/>
      <c r="F4" s="13"/>
      <c r="G4" s="15"/>
      <c r="H4" s="15"/>
      <c r="I4" s="112" t="s">
        <v>3</v>
      </c>
      <c r="J4" s="113"/>
      <c r="K4" s="21"/>
      <c r="L4" s="25"/>
      <c r="M4" s="113" t="s">
        <v>4</v>
      </c>
      <c r="N4" s="113"/>
      <c r="O4" s="21"/>
      <c r="P4" s="20"/>
      <c r="AK4" s="2"/>
    </row>
    <row r="5" spans="1:37" s="1" customFormat="1" ht="14.25" customHeight="1">
      <c r="A5" s="12"/>
      <c r="B5" s="146"/>
      <c r="C5" s="13"/>
      <c r="D5" s="14"/>
      <c r="E5" s="13"/>
      <c r="F5" s="13"/>
      <c r="G5" s="15" t="s">
        <v>5</v>
      </c>
      <c r="H5" s="15"/>
      <c r="I5" s="16"/>
      <c r="J5" s="26"/>
      <c r="K5" s="27"/>
      <c r="L5" s="22"/>
      <c r="M5" s="22"/>
      <c r="N5" s="19"/>
      <c r="O5" s="28"/>
      <c r="P5" s="20"/>
      <c r="AK5" s="2"/>
    </row>
    <row r="6" spans="1:37" s="1" customFormat="1" ht="14.25" customHeight="1">
      <c r="A6" s="12"/>
      <c r="B6" s="146"/>
      <c r="C6" s="29"/>
      <c r="D6" s="14"/>
      <c r="E6" s="13"/>
      <c r="F6" s="13"/>
      <c r="G6" s="15"/>
      <c r="H6" s="15"/>
      <c r="I6" s="112" t="s">
        <v>6</v>
      </c>
      <c r="J6" s="113"/>
      <c r="K6" s="30"/>
      <c r="L6" s="25"/>
      <c r="M6" s="113" t="s">
        <v>8</v>
      </c>
      <c r="N6" s="113"/>
      <c r="O6" s="30"/>
      <c r="P6" s="20"/>
      <c r="AK6" s="2"/>
    </row>
    <row r="7" spans="1:37" s="1" customFormat="1" ht="14.25" customHeight="1">
      <c r="A7" s="31" t="s">
        <v>10</v>
      </c>
      <c r="B7" s="148"/>
      <c r="C7" s="13"/>
      <c r="D7" s="32"/>
      <c r="E7" s="13"/>
      <c r="F7" s="13"/>
      <c r="G7" s="15"/>
      <c r="H7" s="15"/>
      <c r="I7" s="33"/>
      <c r="J7" s="13"/>
      <c r="K7" s="13"/>
      <c r="L7" s="15"/>
      <c r="M7" s="13"/>
      <c r="N7" s="13"/>
      <c r="O7" s="34"/>
      <c r="P7" s="35"/>
      <c r="AK7" s="2"/>
    </row>
    <row r="8" spans="1:37" s="1" customFormat="1" ht="20.25" customHeight="1">
      <c r="A8" s="114" t="s">
        <v>11</v>
      </c>
      <c r="B8" s="115"/>
      <c r="C8" s="115"/>
      <c r="D8" s="115"/>
      <c r="E8" s="115"/>
      <c r="F8" s="115"/>
      <c r="G8" s="115"/>
      <c r="H8" s="115"/>
      <c r="I8" s="116" t="s">
        <v>12</v>
      </c>
      <c r="J8" s="115"/>
      <c r="K8" s="115"/>
      <c r="L8" s="115"/>
      <c r="M8" s="115"/>
      <c r="N8" s="115"/>
      <c r="O8" s="115"/>
      <c r="P8" s="117"/>
      <c r="Q8" s="36"/>
      <c r="V8" s="37" t="s">
        <v>13</v>
      </c>
      <c r="W8" s="37" t="s">
        <v>14</v>
      </c>
      <c r="X8" s="37" t="s">
        <v>15</v>
      </c>
      <c r="Y8" s="37" t="s">
        <v>16</v>
      </c>
      <c r="Z8" s="37" t="s">
        <v>17</v>
      </c>
      <c r="AA8" s="37" t="s">
        <v>18</v>
      </c>
      <c r="AB8" s="37" t="s">
        <v>19</v>
      </c>
      <c r="AC8" s="37" t="s">
        <v>20</v>
      </c>
      <c r="AD8" s="37" t="s">
        <v>21</v>
      </c>
      <c r="AE8" s="37" t="s">
        <v>22</v>
      </c>
      <c r="AF8" s="37" t="s">
        <v>23</v>
      </c>
      <c r="AG8" s="37" t="s">
        <v>24</v>
      </c>
      <c r="AH8" s="37" t="s">
        <v>25</v>
      </c>
      <c r="AI8" s="37" t="s">
        <v>26</v>
      </c>
      <c r="AJ8" s="37" t="s">
        <v>27</v>
      </c>
      <c r="AK8" s="38" t="s">
        <v>28</v>
      </c>
    </row>
    <row r="9" spans="1:37" s="1" customFormat="1" ht="15.75" customHeight="1">
      <c r="A9" s="39"/>
      <c r="B9" s="149"/>
      <c r="C9" s="34"/>
      <c r="D9" s="40"/>
      <c r="E9" s="34"/>
      <c r="F9" s="34"/>
      <c r="G9" s="41" t="s">
        <v>30</v>
      </c>
      <c r="H9" s="42"/>
      <c r="I9" s="154"/>
      <c r="J9" s="155"/>
      <c r="K9" s="155"/>
      <c r="L9" s="155"/>
      <c r="M9" s="155"/>
      <c r="N9" s="43" t="s">
        <v>30</v>
      </c>
      <c r="O9" s="42"/>
      <c r="P9" s="35"/>
      <c r="Q9" s="36"/>
      <c r="R9" s="118" t="s">
        <v>34</v>
      </c>
      <c r="S9" s="118"/>
      <c r="V9" s="45" t="s">
        <v>35</v>
      </c>
      <c r="W9" s="45" t="s">
        <v>36</v>
      </c>
      <c r="X9" s="46" t="s">
        <v>37</v>
      </c>
      <c r="Y9" s="45" t="s">
        <v>38</v>
      </c>
      <c r="Z9" s="45" t="s">
        <v>39</v>
      </c>
      <c r="AA9" s="45" t="s">
        <v>40</v>
      </c>
      <c r="AB9" s="45" t="s">
        <v>40</v>
      </c>
      <c r="AC9" s="45" t="s">
        <v>41</v>
      </c>
      <c r="AD9" s="45">
        <v>190</v>
      </c>
      <c r="AE9" s="45" t="s">
        <v>42</v>
      </c>
      <c r="AF9" s="45" t="s">
        <v>43</v>
      </c>
      <c r="AG9" s="45" t="s">
        <v>44</v>
      </c>
      <c r="AH9" s="45" t="s">
        <v>45</v>
      </c>
      <c r="AI9" s="45" t="s">
        <v>32</v>
      </c>
      <c r="AJ9" s="45" t="s">
        <v>46</v>
      </c>
      <c r="AK9" s="47" t="s">
        <v>47</v>
      </c>
    </row>
    <row r="10" spans="1:37" s="1" customFormat="1" ht="15.75" customHeight="1">
      <c r="A10" s="48" t="s">
        <v>48</v>
      </c>
      <c r="B10" s="150"/>
      <c r="C10" s="42"/>
      <c r="D10" s="49"/>
      <c r="E10" s="50"/>
      <c r="F10" s="50"/>
      <c r="G10" s="51" t="s">
        <v>50</v>
      </c>
      <c r="H10" s="42"/>
      <c r="I10" s="52" t="s">
        <v>48</v>
      </c>
      <c r="J10" s="42"/>
      <c r="K10" s="53"/>
      <c r="L10" s="54"/>
      <c r="M10" s="55"/>
      <c r="N10" s="43" t="s">
        <v>50</v>
      </c>
      <c r="O10" s="42"/>
      <c r="P10" s="56"/>
      <c r="Q10" s="36"/>
      <c r="R10" s="44" t="s">
        <v>53</v>
      </c>
      <c r="S10" s="44" t="s">
        <v>54</v>
      </c>
      <c r="V10" s="45" t="s">
        <v>55</v>
      </c>
      <c r="W10" s="45" t="s">
        <v>56</v>
      </c>
      <c r="X10" s="46" t="s">
        <v>57</v>
      </c>
      <c r="Y10" s="45" t="s">
        <v>38</v>
      </c>
      <c r="Z10" s="45" t="s">
        <v>39</v>
      </c>
      <c r="AA10" s="45" t="s">
        <v>40</v>
      </c>
      <c r="AB10" s="45" t="s">
        <v>40</v>
      </c>
      <c r="AC10" s="45" t="s">
        <v>58</v>
      </c>
      <c r="AD10" s="45">
        <v>307</v>
      </c>
      <c r="AE10" s="45" t="s">
        <v>59</v>
      </c>
      <c r="AF10" s="45" t="s">
        <v>60</v>
      </c>
      <c r="AG10" s="45" t="s">
        <v>61</v>
      </c>
      <c r="AH10" s="45" t="s">
        <v>62</v>
      </c>
      <c r="AI10" s="45" t="s">
        <v>63</v>
      </c>
      <c r="AJ10" s="45" t="s">
        <v>64</v>
      </c>
      <c r="AK10" s="2"/>
    </row>
    <row r="11" spans="1:37" s="1" customFormat="1" ht="15.75" customHeight="1">
      <c r="A11" s="48" t="s">
        <v>65</v>
      </c>
      <c r="B11" s="150"/>
      <c r="C11" s="42"/>
      <c r="D11" s="57" t="s">
        <v>67</v>
      </c>
      <c r="E11" s="42"/>
      <c r="F11" s="50"/>
      <c r="G11" s="41" t="s">
        <v>68</v>
      </c>
      <c r="H11" s="58"/>
      <c r="I11" s="52" t="s">
        <v>65</v>
      </c>
      <c r="J11" s="42"/>
      <c r="K11" s="59" t="s">
        <v>67</v>
      </c>
      <c r="L11" s="42"/>
      <c r="M11" s="60"/>
      <c r="N11" s="43" t="s">
        <v>68</v>
      </c>
      <c r="O11" s="61"/>
      <c r="P11" s="56"/>
      <c r="Q11" s="36"/>
      <c r="R11" s="62" t="s">
        <v>9</v>
      </c>
      <c r="S11" s="62" t="s">
        <v>9</v>
      </c>
      <c r="AK11" s="2"/>
    </row>
    <row r="12" spans="1:37" s="1" customFormat="1" ht="15.75" customHeight="1">
      <c r="A12" s="48" t="s">
        <v>70</v>
      </c>
      <c r="B12" s="150"/>
      <c r="C12" s="42"/>
      <c r="D12" s="49"/>
      <c r="E12" s="42"/>
      <c r="F12" s="50"/>
      <c r="G12" s="41" t="s">
        <v>72</v>
      </c>
      <c r="H12" s="58"/>
      <c r="I12" s="52" t="s">
        <v>70</v>
      </c>
      <c r="J12" s="42"/>
      <c r="K12" s="53"/>
      <c r="L12" s="54"/>
      <c r="M12" s="55"/>
      <c r="N12" s="43" t="s">
        <v>72</v>
      </c>
      <c r="O12" s="61"/>
      <c r="P12" s="56"/>
      <c r="Q12" s="36"/>
      <c r="R12" s="62" t="s">
        <v>74</v>
      </c>
      <c r="S12" s="62" t="s">
        <v>75</v>
      </c>
      <c r="AK12" s="2"/>
    </row>
    <row r="13" spans="1:37" s="1" customFormat="1" ht="15.75" customHeight="1">
      <c r="A13" s="48" t="s">
        <v>76</v>
      </c>
      <c r="B13" s="150"/>
      <c r="C13" s="42"/>
      <c r="D13" s="59" t="s">
        <v>78</v>
      </c>
      <c r="E13" s="42"/>
      <c r="F13" s="43"/>
      <c r="G13" s="41" t="s">
        <v>72</v>
      </c>
      <c r="H13" s="58"/>
      <c r="I13" s="52" t="s">
        <v>76</v>
      </c>
      <c r="J13" s="42"/>
      <c r="K13" s="59" t="s">
        <v>78</v>
      </c>
      <c r="L13" s="42"/>
      <c r="M13" s="63"/>
      <c r="N13" s="43" t="s">
        <v>72</v>
      </c>
      <c r="O13" s="61"/>
      <c r="P13" s="56"/>
      <c r="Q13" s="36"/>
      <c r="R13" s="62" t="s">
        <v>82</v>
      </c>
      <c r="S13" s="62" t="s">
        <v>82</v>
      </c>
      <c r="AK13" s="2"/>
    </row>
    <row r="14" spans="1:37" s="1" customFormat="1" ht="15.75" customHeight="1">
      <c r="A14" s="48" t="s">
        <v>83</v>
      </c>
      <c r="B14" s="150"/>
      <c r="C14" s="42"/>
      <c r="D14" s="64"/>
      <c r="E14" s="43"/>
      <c r="F14" s="42"/>
      <c r="G14" s="41" t="s">
        <v>85</v>
      </c>
      <c r="H14" s="65"/>
      <c r="I14" s="52" t="s">
        <v>83</v>
      </c>
      <c r="J14" s="42"/>
      <c r="K14" s="53"/>
      <c r="L14" s="43"/>
      <c r="M14" s="63"/>
      <c r="N14" s="41" t="s">
        <v>85</v>
      </c>
      <c r="O14" s="156"/>
      <c r="P14" s="56"/>
      <c r="R14" s="62" t="s">
        <v>7</v>
      </c>
      <c r="S14" s="62" t="s">
        <v>7</v>
      </c>
      <c r="AK14" s="2"/>
    </row>
    <row r="15" spans="1:37" s="1" customFormat="1" ht="20.25" customHeight="1">
      <c r="A15" s="114" t="s">
        <v>88</v>
      </c>
      <c r="B15" s="115"/>
      <c r="C15" s="115"/>
      <c r="D15" s="115"/>
      <c r="E15" s="115"/>
      <c r="F15" s="115"/>
      <c r="G15" s="115"/>
      <c r="H15" s="115"/>
      <c r="I15" s="116" t="s">
        <v>89</v>
      </c>
      <c r="J15" s="115"/>
      <c r="K15" s="115"/>
      <c r="L15" s="115"/>
      <c r="M15" s="115"/>
      <c r="N15" s="115"/>
      <c r="O15" s="115"/>
      <c r="P15" s="117"/>
      <c r="R15" s="66" t="s">
        <v>90</v>
      </c>
      <c r="S15" s="66" t="s">
        <v>90</v>
      </c>
      <c r="AK15" s="2"/>
    </row>
    <row r="16" spans="1:37" s="1" customFormat="1" ht="15.75" customHeight="1">
      <c r="A16" s="119"/>
      <c r="B16" s="119"/>
      <c r="C16" s="119"/>
      <c r="D16" s="119"/>
      <c r="E16" s="119"/>
      <c r="F16" s="119"/>
      <c r="G16" s="43" t="s">
        <v>30</v>
      </c>
      <c r="H16" s="42"/>
      <c r="I16" s="120"/>
      <c r="J16" s="121"/>
      <c r="K16" s="121"/>
      <c r="L16" s="121"/>
      <c r="M16" s="121"/>
      <c r="N16" s="121"/>
      <c r="O16" s="121"/>
      <c r="P16" s="122"/>
      <c r="R16" s="62" t="s">
        <v>94</v>
      </c>
      <c r="S16" s="62" t="s">
        <v>94</v>
      </c>
      <c r="AK16" s="2"/>
    </row>
    <row r="17" spans="1:37" s="1" customFormat="1" ht="15.75" customHeight="1">
      <c r="A17" s="48" t="s">
        <v>95</v>
      </c>
      <c r="B17" s="150"/>
      <c r="C17" s="42"/>
      <c r="D17" s="53"/>
      <c r="E17" s="50"/>
      <c r="F17" s="54"/>
      <c r="G17" s="43" t="s">
        <v>97</v>
      </c>
      <c r="H17" s="67"/>
      <c r="I17" s="123"/>
      <c r="J17" s="124"/>
      <c r="K17" s="124"/>
      <c r="L17" s="124"/>
      <c r="M17" s="124"/>
      <c r="N17" s="124"/>
      <c r="O17" s="124"/>
      <c r="P17" s="125"/>
      <c r="R17" s="62" t="s">
        <v>99</v>
      </c>
      <c r="S17" s="62" t="s">
        <v>99</v>
      </c>
      <c r="AK17" s="2"/>
    </row>
    <row r="18" spans="1:37" s="1" customFormat="1" ht="15.75" customHeight="1">
      <c r="A18" s="48" t="s">
        <v>65</v>
      </c>
      <c r="B18" s="150"/>
      <c r="C18" s="67"/>
      <c r="D18" s="59" t="s">
        <v>67</v>
      </c>
      <c r="E18" s="68"/>
      <c r="F18" s="54"/>
      <c r="G18" s="43" t="s">
        <v>50</v>
      </c>
      <c r="H18" s="69"/>
      <c r="I18" s="123"/>
      <c r="J18" s="124"/>
      <c r="K18" s="124"/>
      <c r="L18" s="124"/>
      <c r="M18" s="124"/>
      <c r="N18" s="124"/>
      <c r="O18" s="124"/>
      <c r="P18" s="125"/>
      <c r="R18" s="62" t="s">
        <v>102</v>
      </c>
      <c r="S18" s="62" t="s">
        <v>102</v>
      </c>
      <c r="AK18" s="2"/>
    </row>
    <row r="19" spans="1:37" s="1" customFormat="1" ht="15.75" customHeight="1">
      <c r="A19" s="48" t="s">
        <v>70</v>
      </c>
      <c r="B19" s="150"/>
      <c r="C19" s="67"/>
      <c r="D19" s="53"/>
      <c r="E19" s="67"/>
      <c r="F19" s="54"/>
      <c r="G19" s="43" t="s">
        <v>68</v>
      </c>
      <c r="H19" s="70"/>
      <c r="I19" s="123"/>
      <c r="J19" s="124"/>
      <c r="K19" s="124"/>
      <c r="L19" s="124"/>
      <c r="M19" s="124"/>
      <c r="N19" s="124"/>
      <c r="O19" s="124"/>
      <c r="P19" s="125"/>
      <c r="R19" s="71" t="s">
        <v>105</v>
      </c>
      <c r="S19" s="66" t="s">
        <v>106</v>
      </c>
      <c r="AK19" s="2"/>
    </row>
    <row r="20" spans="1:37" s="1" customFormat="1" ht="15.75" customHeight="1">
      <c r="A20" s="48" t="s">
        <v>76</v>
      </c>
      <c r="B20" s="150"/>
      <c r="C20" s="67"/>
      <c r="D20" s="59" t="s">
        <v>78</v>
      </c>
      <c r="E20" s="68"/>
      <c r="F20" s="54"/>
      <c r="G20" s="43" t="s">
        <v>72</v>
      </c>
      <c r="H20" s="70"/>
      <c r="I20" s="126"/>
      <c r="J20" s="127"/>
      <c r="K20" s="127"/>
      <c r="L20" s="127"/>
      <c r="M20" s="127"/>
      <c r="N20" s="127"/>
      <c r="O20" s="127"/>
      <c r="P20" s="128"/>
      <c r="R20" s="62" t="s">
        <v>110</v>
      </c>
      <c r="S20" s="62" t="s">
        <v>111</v>
      </c>
      <c r="AK20" s="2"/>
    </row>
    <row r="21" spans="1:37" s="1" customFormat="1" ht="20.25" customHeight="1">
      <c r="A21" s="48" t="s">
        <v>83</v>
      </c>
      <c r="B21" s="150"/>
      <c r="C21" s="67"/>
      <c r="D21" s="59"/>
      <c r="E21" s="42"/>
      <c r="F21" s="41"/>
      <c r="G21" s="43" t="s">
        <v>72</v>
      </c>
      <c r="H21" s="70"/>
      <c r="I21" s="116" t="s">
        <v>113</v>
      </c>
      <c r="J21" s="115"/>
      <c r="K21" s="115"/>
      <c r="L21" s="115"/>
      <c r="M21" s="115"/>
      <c r="N21" s="115"/>
      <c r="O21" s="115"/>
      <c r="P21" s="117"/>
      <c r="R21" s="62" t="s">
        <v>114</v>
      </c>
      <c r="S21" s="62" t="s">
        <v>115</v>
      </c>
      <c r="AK21" s="2"/>
    </row>
    <row r="22" spans="1:37" s="1" customFormat="1" ht="15.75" customHeight="1">
      <c r="A22" s="48" t="s">
        <v>116</v>
      </c>
      <c r="B22" s="150"/>
      <c r="C22" s="72"/>
      <c r="D22" s="53"/>
      <c r="E22" s="50"/>
      <c r="F22" s="54"/>
      <c r="G22" s="43" t="s">
        <v>118</v>
      </c>
      <c r="H22" s="73"/>
      <c r="I22" s="129"/>
      <c r="J22" s="130"/>
      <c r="K22" s="130"/>
      <c r="L22" s="130"/>
      <c r="M22" s="130"/>
      <c r="N22" s="130"/>
      <c r="O22" s="130"/>
      <c r="P22" s="131"/>
      <c r="R22" s="62" t="s">
        <v>121</v>
      </c>
      <c r="S22" s="62" t="s">
        <v>122</v>
      </c>
      <c r="AK22" s="2"/>
    </row>
    <row r="23" spans="1:37" s="1" customFormat="1" ht="15.75" customHeight="1">
      <c r="A23" s="48" t="s">
        <v>123</v>
      </c>
      <c r="B23" s="150"/>
      <c r="C23" s="68"/>
      <c r="D23" s="53"/>
      <c r="E23" s="50"/>
      <c r="F23" s="54"/>
      <c r="G23" s="55"/>
      <c r="H23" s="54"/>
      <c r="I23" s="132"/>
      <c r="J23" s="133"/>
      <c r="K23" s="133"/>
      <c r="L23" s="133"/>
      <c r="M23" s="133"/>
      <c r="N23" s="133"/>
      <c r="O23" s="133"/>
      <c r="P23" s="134"/>
      <c r="R23" s="62" t="s">
        <v>125</v>
      </c>
      <c r="S23" s="62" t="s">
        <v>125</v>
      </c>
      <c r="AK23" s="2"/>
    </row>
    <row r="24" spans="1:37" s="1" customFormat="1" ht="15.75" customHeight="1">
      <c r="A24" s="74"/>
      <c r="B24" s="43"/>
      <c r="C24" s="42"/>
      <c r="D24" s="59"/>
      <c r="E24" s="50"/>
      <c r="F24" s="54"/>
      <c r="G24" s="55"/>
      <c r="H24" s="54"/>
      <c r="I24" s="132"/>
      <c r="J24" s="133"/>
      <c r="K24" s="133"/>
      <c r="L24" s="133"/>
      <c r="M24" s="133"/>
      <c r="N24" s="133"/>
      <c r="O24" s="133"/>
      <c r="P24" s="134"/>
      <c r="R24" s="62" t="s">
        <v>126</v>
      </c>
      <c r="S24" s="62" t="s">
        <v>127</v>
      </c>
      <c r="AK24" s="2"/>
    </row>
    <row r="25" spans="1:37" s="1" customFormat="1" ht="15.75" customHeight="1">
      <c r="A25" s="74"/>
      <c r="B25" s="43"/>
      <c r="C25" s="42"/>
      <c r="D25" s="53"/>
      <c r="E25" s="54"/>
      <c r="F25" s="54"/>
      <c r="G25" s="55"/>
      <c r="H25" s="54"/>
      <c r="I25" s="132"/>
      <c r="J25" s="133"/>
      <c r="K25" s="133"/>
      <c r="L25" s="133"/>
      <c r="M25" s="133"/>
      <c r="N25" s="133"/>
      <c r="O25" s="133"/>
      <c r="P25" s="134"/>
      <c r="R25" s="62" t="s">
        <v>128</v>
      </c>
      <c r="S25" s="62" t="s">
        <v>128</v>
      </c>
      <c r="AK25" s="2"/>
    </row>
    <row r="26" spans="1:37" s="1" customFormat="1" ht="20.25" customHeight="1">
      <c r="A26" s="74"/>
      <c r="B26" s="43"/>
      <c r="C26" s="42"/>
      <c r="D26" s="53"/>
      <c r="E26" s="54"/>
      <c r="F26" s="54"/>
      <c r="G26" s="55"/>
      <c r="H26" s="54"/>
      <c r="I26" s="135"/>
      <c r="J26" s="136"/>
      <c r="K26" s="136"/>
      <c r="L26" s="136"/>
      <c r="M26" s="136"/>
      <c r="N26" s="136"/>
      <c r="O26" s="136"/>
      <c r="P26" s="137"/>
      <c r="Q26" s="36"/>
      <c r="R26" s="62" t="s">
        <v>129</v>
      </c>
      <c r="S26" s="62" t="s">
        <v>129</v>
      </c>
      <c r="AK26" s="2"/>
    </row>
    <row r="27" spans="1:37" ht="14.25" customHeight="1">
      <c r="A27" s="75"/>
      <c r="B27" s="151"/>
      <c r="C27" s="76"/>
      <c r="D27" s="76"/>
      <c r="E27" s="76"/>
      <c r="F27" s="76"/>
      <c r="G27" s="77"/>
      <c r="H27" s="76"/>
      <c r="I27" s="76"/>
      <c r="J27" s="76"/>
      <c r="K27" s="76"/>
      <c r="L27" s="76"/>
      <c r="M27" s="77"/>
      <c r="N27" s="76"/>
      <c r="O27" s="76"/>
      <c r="P27" s="78"/>
      <c r="Q27" s="5"/>
      <c r="R27" s="62" t="s">
        <v>130</v>
      </c>
      <c r="S27" s="62" t="s">
        <v>130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</row>
    <row r="28" spans="1:37" s="1" customFormat="1" ht="18" customHeight="1">
      <c r="A28" s="79"/>
      <c r="B28" s="152"/>
      <c r="C28" s="80"/>
      <c r="D28" s="81"/>
      <c r="E28" s="82" t="s">
        <v>5</v>
      </c>
      <c r="F28" s="82"/>
      <c r="G28" s="83"/>
      <c r="H28" s="82"/>
      <c r="I28" s="82"/>
      <c r="J28" s="82"/>
      <c r="K28" s="76"/>
      <c r="L28" s="82"/>
      <c r="M28" s="138" t="s">
        <v>131</v>
      </c>
      <c r="N28" s="139"/>
      <c r="O28" s="138" t="s">
        <v>132</v>
      </c>
      <c r="P28" s="117"/>
      <c r="Q28" s="36"/>
      <c r="R28" s="62" t="s">
        <v>133</v>
      </c>
      <c r="S28" s="62" t="s">
        <v>133</v>
      </c>
      <c r="AK28" s="2"/>
    </row>
    <row r="29" spans="1:37" s="1" customFormat="1" ht="30" customHeight="1">
      <c r="A29" s="84" t="s">
        <v>134</v>
      </c>
      <c r="B29" s="85" t="s">
        <v>1135</v>
      </c>
      <c r="C29" s="85" t="s">
        <v>1136</v>
      </c>
      <c r="D29" s="138" t="s">
        <v>135</v>
      </c>
      <c r="E29" s="115"/>
      <c r="F29" s="139"/>
      <c r="G29" s="86" t="s">
        <v>136</v>
      </c>
      <c r="H29" s="86" t="s">
        <v>137</v>
      </c>
      <c r="I29" s="86" t="s">
        <v>138</v>
      </c>
      <c r="J29" s="86" t="s">
        <v>139</v>
      </c>
      <c r="K29" s="86" t="s">
        <v>140</v>
      </c>
      <c r="L29" s="85" t="s">
        <v>141</v>
      </c>
      <c r="M29" s="85" t="s">
        <v>142</v>
      </c>
      <c r="N29" s="85" t="s">
        <v>143</v>
      </c>
      <c r="O29" s="85" t="s">
        <v>142</v>
      </c>
      <c r="P29" s="87" t="s">
        <v>143</v>
      </c>
      <c r="Q29" s="88"/>
      <c r="R29" s="62" t="s">
        <v>144</v>
      </c>
      <c r="S29" s="62" t="s">
        <v>144</v>
      </c>
      <c r="AK29" s="2"/>
    </row>
    <row r="30" spans="1:37" ht="17.25" customHeight="1">
      <c r="A30" s="89">
        <v>1</v>
      </c>
      <c r="B30" s="90"/>
      <c r="C30" s="90"/>
      <c r="D30" s="140"/>
      <c r="E30" s="141"/>
      <c r="F30" s="142"/>
      <c r="G30" s="91"/>
      <c r="H30" s="91"/>
      <c r="I30" s="91"/>
      <c r="J30" s="91"/>
      <c r="K30" s="91"/>
      <c r="L30" s="92"/>
      <c r="M30" s="93"/>
      <c r="N30" s="93"/>
      <c r="O30" s="93"/>
      <c r="P30" s="93"/>
      <c r="Q30" s="93">
        <f t="shared" ref="Q30:S30" si="0">P30*M30</f>
        <v>87218.260000000009</v>
      </c>
      <c r="R30" s="93">
        <f t="shared" si="0"/>
        <v>44149883.212000005</v>
      </c>
      <c r="S30" s="93">
        <f t="shared" si="0"/>
        <v>7607024877.4276018</v>
      </c>
    </row>
    <row r="31" spans="1:37" ht="17.25" customHeight="1">
      <c r="A31" s="89">
        <v>2</v>
      </c>
      <c r="B31" s="92"/>
      <c r="C31" s="92"/>
      <c r="D31" s="140"/>
      <c r="E31" s="141"/>
      <c r="F31" s="142"/>
      <c r="G31" s="91"/>
      <c r="H31" s="91"/>
      <c r="I31" s="91"/>
      <c r="J31" s="91"/>
      <c r="K31" s="91"/>
      <c r="L31" s="94"/>
      <c r="M31" s="93"/>
      <c r="N31" s="93"/>
      <c r="O31" s="93"/>
      <c r="P31" s="93"/>
      <c r="Q31" s="95"/>
      <c r="R31" s="62" t="s">
        <v>154</v>
      </c>
      <c r="S31" s="62" t="s">
        <v>155</v>
      </c>
    </row>
    <row r="32" spans="1:37" ht="17.25" customHeight="1">
      <c r="A32" s="89">
        <v>3</v>
      </c>
      <c r="B32" s="153"/>
      <c r="C32" s="92"/>
      <c r="D32" s="140"/>
      <c r="E32" s="141"/>
      <c r="F32" s="142"/>
      <c r="G32" s="91"/>
      <c r="H32" s="91"/>
      <c r="I32" s="91"/>
      <c r="J32" s="91"/>
      <c r="K32" s="91"/>
      <c r="L32" s="94"/>
      <c r="M32" s="93"/>
      <c r="N32" s="93"/>
      <c r="O32" s="93"/>
      <c r="P32" s="93"/>
      <c r="Q32" s="95"/>
      <c r="R32" s="62" t="s">
        <v>156</v>
      </c>
      <c r="S32" s="62" t="s">
        <v>156</v>
      </c>
    </row>
    <row r="33" spans="1:19" ht="17.25" customHeight="1">
      <c r="A33" s="89">
        <v>4</v>
      </c>
      <c r="B33" s="153"/>
      <c r="C33" s="92"/>
      <c r="D33" s="140"/>
      <c r="E33" s="141"/>
      <c r="F33" s="142"/>
      <c r="G33" s="91"/>
      <c r="H33" s="91"/>
      <c r="I33" s="91"/>
      <c r="J33" s="91"/>
      <c r="K33" s="91"/>
      <c r="L33" s="94"/>
      <c r="M33" s="93"/>
      <c r="N33" s="93"/>
      <c r="O33" s="93"/>
      <c r="P33" s="93"/>
      <c r="Q33" s="95"/>
      <c r="R33" s="62" t="s">
        <v>157</v>
      </c>
      <c r="S33" s="62" t="s">
        <v>157</v>
      </c>
    </row>
    <row r="34" spans="1:19" ht="17.25" customHeight="1">
      <c r="A34" s="89">
        <v>5</v>
      </c>
      <c r="B34" s="153"/>
      <c r="C34" s="92"/>
      <c r="D34" s="140"/>
      <c r="E34" s="141"/>
      <c r="F34" s="142"/>
      <c r="G34" s="91"/>
      <c r="H34" s="91"/>
      <c r="I34" s="91"/>
      <c r="J34" s="91"/>
      <c r="K34" s="91"/>
      <c r="L34" s="92"/>
      <c r="M34" s="93"/>
      <c r="N34" s="96"/>
      <c r="O34" s="96"/>
      <c r="P34" s="97"/>
      <c r="Q34" s="95"/>
      <c r="R34" s="62" t="s">
        <v>158</v>
      </c>
      <c r="S34" s="62" t="s">
        <v>158</v>
      </c>
    </row>
    <row r="35" spans="1:19" ht="17.25" customHeight="1">
      <c r="A35" s="89">
        <v>6</v>
      </c>
      <c r="B35" s="153"/>
      <c r="C35" s="92"/>
      <c r="D35" s="140"/>
      <c r="E35" s="141"/>
      <c r="F35" s="142"/>
      <c r="G35" s="91"/>
      <c r="H35" s="91"/>
      <c r="I35" s="91"/>
      <c r="J35" s="91"/>
      <c r="K35" s="91"/>
      <c r="L35" s="92"/>
      <c r="M35" s="93"/>
      <c r="N35" s="96"/>
      <c r="O35" s="96"/>
      <c r="P35" s="97"/>
      <c r="Q35" s="95"/>
      <c r="R35" s="62" t="s">
        <v>159</v>
      </c>
      <c r="S35" s="62" t="s">
        <v>159</v>
      </c>
    </row>
    <row r="36" spans="1:19" ht="17.25" customHeight="1">
      <c r="A36" s="89">
        <v>7</v>
      </c>
      <c r="B36" s="153"/>
      <c r="C36" s="92"/>
      <c r="D36" s="140"/>
      <c r="E36" s="141"/>
      <c r="F36" s="142"/>
      <c r="G36" s="91"/>
      <c r="H36" s="91"/>
      <c r="I36" s="91"/>
      <c r="J36" s="91"/>
      <c r="K36" s="91"/>
      <c r="L36" s="94"/>
      <c r="M36" s="93"/>
      <c r="N36" s="96"/>
      <c r="O36" s="98"/>
      <c r="P36" s="99"/>
      <c r="Q36" s="95"/>
      <c r="R36" s="62" t="s">
        <v>160</v>
      </c>
      <c r="S36" s="62" t="s">
        <v>160</v>
      </c>
    </row>
    <row r="37" spans="1:19" ht="17.25" customHeight="1">
      <c r="A37" s="89">
        <v>8</v>
      </c>
      <c r="B37" s="153"/>
      <c r="C37" s="92"/>
      <c r="D37" s="140"/>
      <c r="E37" s="141"/>
      <c r="F37" s="142"/>
      <c r="G37" s="91"/>
      <c r="H37" s="91"/>
      <c r="I37" s="91"/>
      <c r="J37" s="91"/>
      <c r="K37" s="91"/>
      <c r="L37" s="92"/>
      <c r="M37" s="93"/>
      <c r="N37" s="96"/>
      <c r="O37" s="96"/>
      <c r="P37" s="97"/>
      <c r="Q37" s="95"/>
      <c r="R37" s="62" t="s">
        <v>161</v>
      </c>
      <c r="S37" s="62" t="s">
        <v>161</v>
      </c>
    </row>
    <row r="38" spans="1:19" ht="17.25" customHeight="1">
      <c r="A38" s="89">
        <v>9</v>
      </c>
      <c r="B38" s="153"/>
      <c r="C38" s="92"/>
      <c r="D38" s="140"/>
      <c r="E38" s="141"/>
      <c r="F38" s="142"/>
      <c r="G38" s="91"/>
      <c r="H38" s="91"/>
      <c r="I38" s="91"/>
      <c r="J38" s="91"/>
      <c r="K38" s="91"/>
      <c r="L38" s="94"/>
      <c r="M38" s="93"/>
      <c r="N38" s="96"/>
      <c r="O38" s="98"/>
      <c r="P38" s="99"/>
      <c r="Q38" s="95"/>
      <c r="R38" s="95"/>
      <c r="S38" s="95"/>
    </row>
    <row r="39" spans="1:19" ht="17.25" customHeight="1">
      <c r="A39" s="89">
        <v>10</v>
      </c>
      <c r="B39" s="153"/>
      <c r="C39" s="92"/>
      <c r="D39" s="140"/>
      <c r="E39" s="141"/>
      <c r="F39" s="142"/>
      <c r="G39" s="91"/>
      <c r="H39" s="91"/>
      <c r="I39" s="91"/>
      <c r="J39" s="91"/>
      <c r="K39" s="91"/>
      <c r="L39" s="92"/>
      <c r="M39" s="93"/>
      <c r="N39" s="96"/>
      <c r="O39" s="96"/>
      <c r="P39" s="97"/>
      <c r="Q39" s="95"/>
      <c r="R39" s="95"/>
      <c r="S39" s="95"/>
    </row>
    <row r="40" spans="1:19" ht="17.25" customHeight="1">
      <c r="A40" s="89">
        <v>11</v>
      </c>
      <c r="B40" s="153"/>
      <c r="C40" s="92"/>
      <c r="D40" s="140"/>
      <c r="E40" s="141"/>
      <c r="F40" s="142"/>
      <c r="G40" s="91"/>
      <c r="H40" s="91"/>
      <c r="I40" s="91"/>
      <c r="J40" s="91"/>
      <c r="K40" s="91"/>
      <c r="L40" s="92"/>
      <c r="M40" s="93"/>
      <c r="N40" s="96"/>
      <c r="O40" s="96"/>
      <c r="P40" s="97"/>
      <c r="Q40" s="95"/>
      <c r="R40" s="95"/>
      <c r="S40" s="95"/>
    </row>
    <row r="41" spans="1:19" ht="17.25" customHeight="1">
      <c r="A41" s="89">
        <v>12</v>
      </c>
      <c r="B41" s="153"/>
      <c r="C41" s="92"/>
      <c r="D41" s="140"/>
      <c r="E41" s="141"/>
      <c r="F41" s="142"/>
      <c r="G41" s="91"/>
      <c r="H41" s="91"/>
      <c r="I41" s="91"/>
      <c r="J41" s="91"/>
      <c r="K41" s="91"/>
      <c r="L41" s="92"/>
      <c r="M41" s="93"/>
      <c r="N41" s="96"/>
      <c r="O41" s="96"/>
      <c r="P41" s="97"/>
      <c r="Q41" s="95"/>
      <c r="R41" s="95"/>
      <c r="S41" s="95"/>
    </row>
    <row r="42" spans="1:19" ht="17.25" customHeight="1">
      <c r="A42" s="89">
        <v>13</v>
      </c>
      <c r="B42" s="153"/>
      <c r="C42" s="92"/>
      <c r="D42" s="140"/>
      <c r="E42" s="141"/>
      <c r="F42" s="142"/>
      <c r="G42" s="91"/>
      <c r="H42" s="91"/>
      <c r="I42" s="91"/>
      <c r="J42" s="91"/>
      <c r="K42" s="91"/>
      <c r="L42" s="94"/>
      <c r="M42" s="93"/>
      <c r="N42" s="96"/>
      <c r="O42" s="98"/>
      <c r="P42" s="99"/>
      <c r="Q42" s="95"/>
      <c r="R42" s="95"/>
      <c r="S42" s="95"/>
    </row>
    <row r="43" spans="1:19" ht="17.25" customHeight="1">
      <c r="A43" s="89">
        <v>14</v>
      </c>
      <c r="B43" s="153"/>
      <c r="C43" s="92"/>
      <c r="D43" s="140"/>
      <c r="E43" s="141"/>
      <c r="F43" s="142"/>
      <c r="G43" s="91"/>
      <c r="H43" s="91"/>
      <c r="I43" s="91"/>
      <c r="J43" s="91"/>
      <c r="K43" s="91"/>
      <c r="L43" s="92"/>
      <c r="M43" s="93"/>
      <c r="N43" s="96"/>
      <c r="O43" s="96"/>
      <c r="P43" s="97"/>
      <c r="Q43" s="95"/>
      <c r="R43" s="95"/>
      <c r="S43" s="95"/>
    </row>
    <row r="44" spans="1:19" ht="17.25" customHeight="1">
      <c r="A44" s="89">
        <v>15</v>
      </c>
      <c r="B44" s="153"/>
      <c r="C44" s="92"/>
      <c r="D44" s="140"/>
      <c r="E44" s="141"/>
      <c r="F44" s="142"/>
      <c r="G44" s="91"/>
      <c r="H44" s="91"/>
      <c r="I44" s="91"/>
      <c r="J44" s="91"/>
      <c r="K44" s="91"/>
      <c r="L44" s="92"/>
      <c r="M44" s="93"/>
      <c r="N44" s="96"/>
      <c r="O44" s="96"/>
      <c r="P44" s="97"/>
      <c r="Q44" s="95"/>
      <c r="R44" s="95"/>
      <c r="S44" s="95"/>
    </row>
    <row r="45" spans="1:19" ht="17.25" customHeight="1">
      <c r="A45" s="89">
        <v>16</v>
      </c>
      <c r="B45" s="153"/>
      <c r="C45" s="92"/>
      <c r="D45" s="140"/>
      <c r="E45" s="141"/>
      <c r="F45" s="142"/>
      <c r="G45" s="91"/>
      <c r="H45" s="91"/>
      <c r="I45" s="91"/>
      <c r="J45" s="91"/>
      <c r="K45" s="91"/>
      <c r="L45" s="92"/>
      <c r="M45" s="93"/>
      <c r="N45" s="96"/>
      <c r="O45" s="96"/>
      <c r="P45" s="97"/>
      <c r="Q45" s="95"/>
      <c r="R45" s="95"/>
      <c r="S45" s="95"/>
    </row>
    <row r="46" spans="1:19" ht="17.25" customHeight="1">
      <c r="A46" s="89">
        <v>17</v>
      </c>
      <c r="B46" s="153"/>
      <c r="C46" s="92"/>
      <c r="D46" s="140"/>
      <c r="E46" s="141"/>
      <c r="F46" s="142"/>
      <c r="G46" s="91"/>
      <c r="H46" s="91"/>
      <c r="I46" s="91"/>
      <c r="J46" s="91"/>
      <c r="K46" s="91"/>
      <c r="L46" s="92"/>
      <c r="M46" s="93"/>
      <c r="N46" s="96"/>
      <c r="O46" s="96"/>
      <c r="P46" s="97"/>
      <c r="Q46" s="95"/>
      <c r="R46" s="95"/>
      <c r="S46" s="95"/>
    </row>
    <row r="47" spans="1:19" ht="17.25" customHeight="1">
      <c r="A47" s="89">
        <v>18</v>
      </c>
      <c r="B47" s="153"/>
      <c r="C47" s="92"/>
      <c r="D47" s="140"/>
      <c r="E47" s="141"/>
      <c r="F47" s="142"/>
      <c r="G47" s="91"/>
      <c r="H47" s="91"/>
      <c r="I47" s="91"/>
      <c r="J47" s="91"/>
      <c r="K47" s="91"/>
      <c r="L47" s="92"/>
      <c r="M47" s="93"/>
      <c r="N47" s="96"/>
      <c r="O47" s="96"/>
      <c r="P47" s="97"/>
      <c r="Q47" s="95"/>
      <c r="R47" s="95"/>
      <c r="S47" s="95"/>
    </row>
    <row r="48" spans="1:19" ht="17.25" customHeight="1">
      <c r="A48" s="89">
        <v>19</v>
      </c>
      <c r="B48" s="153"/>
      <c r="C48" s="92"/>
      <c r="D48" s="140"/>
      <c r="E48" s="141"/>
      <c r="F48" s="142"/>
      <c r="G48" s="91"/>
      <c r="H48" s="91"/>
      <c r="I48" s="91"/>
      <c r="J48" s="91"/>
      <c r="K48" s="91"/>
      <c r="L48" s="94"/>
      <c r="M48" s="93"/>
      <c r="N48" s="96"/>
      <c r="O48" s="98"/>
      <c r="P48" s="99"/>
      <c r="Q48" s="95"/>
      <c r="R48" s="95"/>
      <c r="S48" s="95"/>
    </row>
    <row r="49" spans="1:37" ht="17.25" customHeight="1">
      <c r="A49" s="100">
        <v>20</v>
      </c>
      <c r="B49" s="100"/>
      <c r="C49" s="100"/>
      <c r="D49" s="140"/>
      <c r="E49" s="141"/>
      <c r="F49" s="142"/>
      <c r="G49" s="91"/>
      <c r="H49" s="91"/>
      <c r="I49" s="91"/>
      <c r="J49" s="91"/>
      <c r="K49" s="91"/>
      <c r="L49" s="101"/>
      <c r="M49" s="102"/>
      <c r="N49" s="103"/>
      <c r="O49" s="104"/>
      <c r="P49" s="105"/>
      <c r="Q49" s="95"/>
      <c r="R49" s="95"/>
      <c r="S49" s="95"/>
    </row>
    <row r="50" spans="1:37" ht="14.25" customHeight="1">
      <c r="A50" s="4"/>
      <c r="B50" s="4"/>
      <c r="C50" s="4"/>
      <c r="D50" s="5"/>
      <c r="E50" s="4"/>
      <c r="F50" s="4"/>
      <c r="G50" s="106"/>
      <c r="H50" s="4"/>
      <c r="I50" s="4"/>
      <c r="J50" s="4"/>
      <c r="K50" s="5"/>
      <c r="L50" s="4"/>
      <c r="M50" s="107"/>
      <c r="N50" s="4"/>
      <c r="O50" s="143">
        <f>SUM(P30:P49)</f>
        <v>7973.6399999999994</v>
      </c>
      <c r="P50" s="144"/>
      <c r="Q50" s="108"/>
      <c r="R50" s="145"/>
      <c r="S50" s="145"/>
    </row>
    <row r="51" spans="1:37" s="1" customFormat="1" ht="14.25" customHeight="1">
      <c r="D51" s="2"/>
      <c r="G51" s="3"/>
      <c r="K51" s="2"/>
      <c r="M51" s="109"/>
      <c r="AK51" s="2"/>
    </row>
    <row r="52" spans="1:37" s="1" customFormat="1" ht="14.25" customHeight="1">
      <c r="D52" s="2"/>
      <c r="G52" s="3"/>
      <c r="K52" s="2"/>
      <c r="M52" s="109"/>
      <c r="AK52" s="2"/>
    </row>
    <row r="53" spans="1:37" s="1" customFormat="1" ht="14.25" customHeight="1">
      <c r="D53" s="2"/>
      <c r="G53" s="3"/>
      <c r="K53" s="2"/>
      <c r="M53" s="109"/>
      <c r="AK53" s="2"/>
    </row>
    <row r="54" spans="1:37" s="1" customFormat="1" ht="14.25" customHeight="1">
      <c r="D54" s="2"/>
      <c r="G54" s="3"/>
      <c r="K54" s="2"/>
      <c r="M54" s="109"/>
      <c r="AK54" s="2"/>
    </row>
    <row r="55" spans="1:37" s="1" customFormat="1" ht="14.25" customHeight="1">
      <c r="D55" s="2"/>
      <c r="G55" s="3"/>
      <c r="K55" s="2"/>
      <c r="M55" s="109"/>
      <c r="AK55" s="2"/>
    </row>
    <row r="56" spans="1:37" s="1" customFormat="1" ht="14.25" customHeight="1">
      <c r="D56" s="2"/>
      <c r="G56" s="3"/>
      <c r="K56" s="2"/>
      <c r="M56" s="109"/>
      <c r="AK56" s="2"/>
    </row>
    <row r="57" spans="1:37" s="1" customFormat="1" ht="14.25" customHeight="1">
      <c r="D57" s="2"/>
      <c r="G57" s="3"/>
      <c r="K57" s="2"/>
      <c r="M57" s="109"/>
      <c r="AK57" s="2"/>
    </row>
    <row r="58" spans="1:37" s="1" customFormat="1" ht="14.25" customHeight="1">
      <c r="D58" s="2"/>
      <c r="G58" s="3"/>
      <c r="K58" s="2"/>
      <c r="M58" s="109"/>
      <c r="AK58" s="2"/>
    </row>
    <row r="59" spans="1:37" s="1" customFormat="1" ht="14.25" customHeight="1">
      <c r="D59" s="2"/>
      <c r="G59" s="3"/>
      <c r="K59" s="2"/>
      <c r="M59" s="109"/>
      <c r="AK59" s="2"/>
    </row>
    <row r="60" spans="1:37" s="1" customFormat="1" ht="14.25" customHeight="1">
      <c r="D60" s="2"/>
      <c r="G60" s="3"/>
      <c r="K60" s="2"/>
      <c r="M60" s="109"/>
      <c r="AK60" s="2"/>
    </row>
    <row r="61" spans="1:37" s="1" customFormat="1" ht="14.25" customHeight="1">
      <c r="D61" s="2"/>
      <c r="G61" s="3"/>
      <c r="K61" s="2"/>
      <c r="M61" s="109"/>
      <c r="AK61" s="2"/>
    </row>
    <row r="62" spans="1:37" s="1" customFormat="1" ht="14.25" customHeight="1">
      <c r="D62" s="2"/>
      <c r="G62" s="3"/>
      <c r="K62" s="2"/>
      <c r="M62" s="109"/>
      <c r="AK62" s="2"/>
    </row>
    <row r="63" spans="1:37" s="1" customFormat="1" ht="14.25" customHeight="1">
      <c r="D63" s="2"/>
      <c r="G63" s="3"/>
      <c r="K63" s="2"/>
      <c r="M63" s="109"/>
      <c r="AK63" s="2"/>
    </row>
    <row r="64" spans="1:37" s="1" customFormat="1" ht="14.25" customHeight="1">
      <c r="D64" s="2"/>
      <c r="G64" s="3"/>
      <c r="K64" s="2"/>
      <c r="M64" s="109"/>
      <c r="AK64" s="2"/>
    </row>
    <row r="65" spans="4:37" s="1" customFormat="1" ht="14.25" customHeight="1">
      <c r="D65" s="2"/>
      <c r="G65" s="3"/>
      <c r="K65" s="2"/>
      <c r="M65" s="109"/>
      <c r="AK65" s="2"/>
    </row>
    <row r="66" spans="4:37" s="1" customFormat="1" ht="14.25" customHeight="1">
      <c r="D66" s="2"/>
      <c r="G66" s="3"/>
      <c r="K66" s="2"/>
      <c r="M66" s="109"/>
      <c r="AK66" s="2"/>
    </row>
    <row r="67" spans="4:37" s="1" customFormat="1" ht="14.25" customHeight="1">
      <c r="D67" s="2"/>
      <c r="G67" s="3"/>
      <c r="K67" s="2"/>
      <c r="M67" s="109"/>
      <c r="AK67" s="2"/>
    </row>
    <row r="68" spans="4:37" s="1" customFormat="1" ht="14.25" customHeight="1">
      <c r="D68" s="2"/>
      <c r="G68" s="3"/>
      <c r="K68" s="2"/>
      <c r="M68" s="109"/>
      <c r="AK68" s="2"/>
    </row>
    <row r="69" spans="4:37" s="1" customFormat="1" ht="14.25" customHeight="1">
      <c r="D69" s="2"/>
      <c r="G69" s="3"/>
      <c r="K69" s="2"/>
      <c r="M69" s="109"/>
      <c r="AK69" s="2"/>
    </row>
    <row r="70" spans="4:37" s="1" customFormat="1" ht="14.25" customHeight="1">
      <c r="D70" s="2"/>
      <c r="G70" s="3"/>
      <c r="K70" s="2"/>
      <c r="M70" s="109"/>
      <c r="AK70" s="2"/>
    </row>
    <row r="71" spans="4:37" s="1" customFormat="1" ht="14.25" customHeight="1">
      <c r="D71" s="2"/>
      <c r="G71" s="3"/>
      <c r="K71" s="2"/>
      <c r="M71" s="109"/>
      <c r="AK71" s="2"/>
    </row>
    <row r="72" spans="4:37" s="1" customFormat="1" ht="14.25" customHeight="1">
      <c r="D72" s="2"/>
      <c r="G72" s="3"/>
      <c r="K72" s="2"/>
      <c r="M72" s="109"/>
      <c r="AK72" s="2"/>
    </row>
    <row r="73" spans="4:37" s="1" customFormat="1" ht="14.25" customHeight="1">
      <c r="D73" s="2"/>
      <c r="G73" s="3"/>
      <c r="K73" s="2"/>
      <c r="M73" s="109"/>
      <c r="AK73" s="2"/>
    </row>
    <row r="74" spans="4:37" s="1" customFormat="1" ht="14.25" customHeight="1">
      <c r="D74" s="2"/>
      <c r="G74" s="3"/>
      <c r="K74" s="2"/>
      <c r="M74" s="109"/>
      <c r="AK74" s="2"/>
    </row>
    <row r="75" spans="4:37" s="1" customFormat="1" ht="14.25" customHeight="1">
      <c r="D75" s="2"/>
      <c r="G75" s="3"/>
      <c r="K75" s="2"/>
      <c r="M75" s="109"/>
      <c r="AK75" s="2"/>
    </row>
    <row r="76" spans="4:37" s="1" customFormat="1" ht="14.25" customHeight="1">
      <c r="D76" s="2"/>
      <c r="G76" s="3"/>
      <c r="K76" s="2"/>
      <c r="M76" s="109"/>
      <c r="AK76" s="2"/>
    </row>
    <row r="77" spans="4:37" s="1" customFormat="1" ht="14.25" customHeight="1">
      <c r="D77" s="2"/>
      <c r="G77" s="3"/>
      <c r="K77" s="2"/>
      <c r="M77" s="109"/>
      <c r="AK77" s="2"/>
    </row>
    <row r="78" spans="4:37" s="1" customFormat="1" ht="14.25" customHeight="1">
      <c r="D78" s="2"/>
      <c r="G78" s="3"/>
      <c r="K78" s="2"/>
      <c r="M78" s="109"/>
      <c r="AK78" s="2"/>
    </row>
    <row r="79" spans="4:37" s="1" customFormat="1" ht="14.25" customHeight="1">
      <c r="D79" s="2"/>
      <c r="G79" s="3"/>
      <c r="K79" s="2"/>
      <c r="M79" s="109"/>
      <c r="AK79" s="2"/>
    </row>
    <row r="80" spans="4:37" s="1" customFormat="1" ht="14.25" customHeight="1">
      <c r="D80" s="2"/>
      <c r="G80" s="3"/>
      <c r="K80" s="2"/>
      <c r="M80" s="109"/>
      <c r="AK80" s="2"/>
    </row>
    <row r="81" spans="4:37" s="1" customFormat="1" ht="14.25" customHeight="1">
      <c r="D81" s="2"/>
      <c r="G81" s="3"/>
      <c r="K81" s="2"/>
      <c r="M81" s="109"/>
      <c r="AK81" s="2"/>
    </row>
    <row r="82" spans="4:37" s="1" customFormat="1" ht="14.25" customHeight="1">
      <c r="D82" s="2"/>
      <c r="G82" s="3"/>
      <c r="K82" s="2"/>
      <c r="M82" s="109"/>
      <c r="AK82" s="2"/>
    </row>
    <row r="83" spans="4:37" s="1" customFormat="1" ht="14.25" customHeight="1">
      <c r="D83" s="2"/>
      <c r="G83" s="3"/>
      <c r="K83" s="2"/>
      <c r="M83" s="109"/>
      <c r="AK83" s="2"/>
    </row>
    <row r="84" spans="4:37" s="1" customFormat="1" ht="14.25" customHeight="1">
      <c r="D84" s="2"/>
      <c r="G84" s="3"/>
      <c r="K84" s="2"/>
      <c r="M84" s="109"/>
      <c r="AK84" s="2"/>
    </row>
    <row r="85" spans="4:37" s="1" customFormat="1" ht="14.25" customHeight="1">
      <c r="D85" s="2"/>
      <c r="G85" s="3"/>
      <c r="K85" s="2"/>
      <c r="M85" s="109"/>
      <c r="AK85" s="2"/>
    </row>
    <row r="86" spans="4:37" s="1" customFormat="1" ht="14.25" customHeight="1">
      <c r="D86" s="2"/>
      <c r="G86" s="3"/>
      <c r="K86" s="2"/>
      <c r="M86" s="109"/>
      <c r="AK86" s="2"/>
    </row>
    <row r="87" spans="4:37" s="1" customFormat="1" ht="14.25" customHeight="1">
      <c r="D87" s="2"/>
      <c r="G87" s="3"/>
      <c r="K87" s="2"/>
      <c r="M87" s="109"/>
      <c r="AK87" s="2"/>
    </row>
    <row r="88" spans="4:37" s="1" customFormat="1" ht="14.25" customHeight="1">
      <c r="D88" s="2"/>
      <c r="G88" s="3"/>
      <c r="K88" s="2"/>
      <c r="M88" s="109"/>
      <c r="AK88" s="2"/>
    </row>
    <row r="89" spans="4:37" s="1" customFormat="1" ht="14.25" customHeight="1">
      <c r="D89" s="2"/>
      <c r="G89" s="3"/>
      <c r="K89" s="2"/>
      <c r="M89" s="109"/>
      <c r="AK89" s="2"/>
    </row>
    <row r="90" spans="4:37" s="1" customFormat="1" ht="14.25" customHeight="1">
      <c r="D90" s="2"/>
      <c r="G90" s="3"/>
      <c r="K90" s="2"/>
      <c r="M90" s="109"/>
      <c r="AK90" s="2"/>
    </row>
    <row r="91" spans="4:37" s="1" customFormat="1" ht="14.25" customHeight="1">
      <c r="D91" s="2"/>
      <c r="G91" s="3"/>
      <c r="K91" s="2"/>
      <c r="M91" s="109"/>
      <c r="AK91" s="2"/>
    </row>
    <row r="92" spans="4:37" s="1" customFormat="1" ht="14.25" customHeight="1">
      <c r="D92" s="2"/>
      <c r="G92" s="3"/>
      <c r="K92" s="2"/>
      <c r="M92" s="109"/>
      <c r="AK92" s="2"/>
    </row>
    <row r="93" spans="4:37" s="1" customFormat="1" ht="14.25" customHeight="1">
      <c r="D93" s="2"/>
      <c r="G93" s="3"/>
      <c r="K93" s="2"/>
      <c r="M93" s="109"/>
      <c r="AK93" s="2"/>
    </row>
    <row r="94" spans="4:37" s="1" customFormat="1" ht="14.25" customHeight="1">
      <c r="D94" s="2"/>
      <c r="G94" s="3"/>
      <c r="K94" s="2"/>
      <c r="M94" s="109"/>
      <c r="AK94" s="2"/>
    </row>
    <row r="95" spans="4:37" s="1" customFormat="1" ht="14.25" customHeight="1">
      <c r="D95" s="2"/>
      <c r="G95" s="3"/>
      <c r="K95" s="2"/>
      <c r="M95" s="109"/>
      <c r="AK95" s="2"/>
    </row>
    <row r="96" spans="4:37" s="1" customFormat="1" ht="14.25" customHeight="1">
      <c r="D96" s="2"/>
      <c r="G96" s="3"/>
      <c r="K96" s="2"/>
      <c r="M96" s="109"/>
      <c r="AK96" s="2"/>
    </row>
    <row r="97" spans="4:37" s="1" customFormat="1" ht="14.25" customHeight="1">
      <c r="D97" s="2"/>
      <c r="G97" s="3"/>
      <c r="K97" s="2"/>
      <c r="M97" s="109"/>
      <c r="AK97" s="2"/>
    </row>
    <row r="98" spans="4:37" s="1" customFormat="1" ht="14.25" customHeight="1">
      <c r="D98" s="2"/>
      <c r="G98" s="3"/>
      <c r="K98" s="2"/>
      <c r="M98" s="109"/>
      <c r="AK98" s="2"/>
    </row>
    <row r="99" spans="4:37" s="1" customFormat="1" ht="14.25" customHeight="1">
      <c r="D99" s="2"/>
      <c r="G99" s="3"/>
      <c r="K99" s="2"/>
      <c r="M99" s="109"/>
      <c r="AK99" s="2"/>
    </row>
    <row r="100" spans="4:37" s="1" customFormat="1" ht="14.25" customHeight="1">
      <c r="D100" s="2"/>
      <c r="G100" s="3"/>
      <c r="K100" s="2"/>
      <c r="M100" s="109"/>
      <c r="AK100" s="2"/>
    </row>
    <row r="101" spans="4:37" s="1" customFormat="1" ht="14.25" customHeight="1">
      <c r="D101" s="2"/>
      <c r="G101" s="3"/>
      <c r="K101" s="2"/>
      <c r="M101" s="109"/>
      <c r="AK101" s="2"/>
    </row>
    <row r="102" spans="4:37" s="1" customFormat="1" ht="14.25" customHeight="1">
      <c r="D102" s="2"/>
      <c r="G102" s="3"/>
      <c r="K102" s="2"/>
      <c r="M102" s="109"/>
      <c r="AK102" s="2"/>
    </row>
    <row r="103" spans="4:37" s="1" customFormat="1" ht="14.25" customHeight="1">
      <c r="D103" s="2"/>
      <c r="G103" s="3"/>
      <c r="K103" s="2"/>
      <c r="M103" s="109"/>
      <c r="AK103" s="2"/>
    </row>
    <row r="104" spans="4:37" s="1" customFormat="1" ht="14.25" customHeight="1">
      <c r="D104" s="2"/>
      <c r="G104" s="3"/>
      <c r="K104" s="2"/>
      <c r="M104" s="109"/>
      <c r="AK104" s="2"/>
    </row>
    <row r="105" spans="4:37" s="1" customFormat="1" ht="14.25" customHeight="1">
      <c r="D105" s="2"/>
      <c r="G105" s="3"/>
      <c r="K105" s="2"/>
      <c r="M105" s="109"/>
      <c r="AK105" s="2"/>
    </row>
    <row r="106" spans="4:37" s="1" customFormat="1" ht="14.25" customHeight="1">
      <c r="D106" s="2"/>
      <c r="G106" s="3"/>
      <c r="K106" s="2"/>
      <c r="M106" s="109"/>
      <c r="AK106" s="2"/>
    </row>
    <row r="107" spans="4:37" s="1" customFormat="1" ht="14.25" customHeight="1">
      <c r="D107" s="2"/>
      <c r="G107" s="3"/>
      <c r="K107" s="2"/>
      <c r="M107" s="109"/>
      <c r="AK107" s="2"/>
    </row>
    <row r="108" spans="4:37" s="1" customFormat="1" ht="14.25" customHeight="1">
      <c r="D108" s="2"/>
      <c r="G108" s="3"/>
      <c r="K108" s="2"/>
      <c r="M108" s="109"/>
      <c r="AK108" s="2"/>
    </row>
    <row r="109" spans="4:37" s="1" customFormat="1" ht="14.25" customHeight="1">
      <c r="D109" s="2"/>
      <c r="G109" s="3"/>
      <c r="K109" s="2"/>
      <c r="M109" s="109"/>
      <c r="AK109" s="2"/>
    </row>
    <row r="110" spans="4:37" s="1" customFormat="1" ht="14.25" customHeight="1">
      <c r="D110" s="2"/>
      <c r="G110" s="3"/>
      <c r="K110" s="2"/>
      <c r="M110" s="109"/>
      <c r="AK110" s="2"/>
    </row>
    <row r="111" spans="4:37" s="1" customFormat="1" ht="14.25" customHeight="1">
      <c r="D111" s="2"/>
      <c r="G111" s="3"/>
      <c r="K111" s="2"/>
      <c r="M111" s="109"/>
      <c r="AK111" s="2"/>
    </row>
    <row r="112" spans="4:37" s="1" customFormat="1" ht="14.25" customHeight="1">
      <c r="D112" s="2"/>
      <c r="G112" s="3"/>
      <c r="K112" s="2"/>
      <c r="M112" s="109"/>
      <c r="AK112" s="2"/>
    </row>
    <row r="113" spans="4:37" s="1" customFormat="1" ht="14.25" customHeight="1">
      <c r="D113" s="2"/>
      <c r="G113" s="3"/>
      <c r="K113" s="2"/>
      <c r="M113" s="109"/>
      <c r="AK113" s="2"/>
    </row>
    <row r="114" spans="4:37" s="1" customFormat="1" ht="14.25" customHeight="1">
      <c r="D114" s="2"/>
      <c r="G114" s="3"/>
      <c r="K114" s="2"/>
      <c r="M114" s="109"/>
      <c r="AK114" s="2"/>
    </row>
    <row r="115" spans="4:37" s="1" customFormat="1" ht="14.25" customHeight="1">
      <c r="D115" s="2"/>
      <c r="G115" s="3"/>
      <c r="K115" s="2"/>
      <c r="M115" s="109"/>
      <c r="AK115" s="2"/>
    </row>
    <row r="116" spans="4:37" s="1" customFormat="1" ht="14.25" customHeight="1">
      <c r="D116" s="2"/>
      <c r="G116" s="3"/>
      <c r="K116" s="2"/>
      <c r="M116" s="109"/>
      <c r="AK116" s="2"/>
    </row>
    <row r="117" spans="4:37" s="1" customFormat="1" ht="14.25" customHeight="1">
      <c r="D117" s="2"/>
      <c r="G117" s="3"/>
      <c r="K117" s="2"/>
      <c r="M117" s="109"/>
      <c r="AK117" s="2"/>
    </row>
    <row r="118" spans="4:37" s="1" customFormat="1" ht="14.25" customHeight="1">
      <c r="D118" s="2"/>
      <c r="G118" s="3"/>
      <c r="K118" s="2"/>
      <c r="M118" s="109"/>
      <c r="AK118" s="2"/>
    </row>
    <row r="119" spans="4:37" s="1" customFormat="1" ht="14.25" customHeight="1">
      <c r="D119" s="2"/>
      <c r="G119" s="3"/>
      <c r="K119" s="2"/>
      <c r="M119" s="109"/>
      <c r="AK119" s="2"/>
    </row>
    <row r="120" spans="4:37" s="1" customFormat="1" ht="14.25" customHeight="1">
      <c r="D120" s="2"/>
      <c r="G120" s="3"/>
      <c r="K120" s="2"/>
      <c r="M120" s="109"/>
      <c r="AK120" s="2"/>
    </row>
    <row r="121" spans="4:37" s="1" customFormat="1" ht="14.25" customHeight="1">
      <c r="D121" s="2"/>
      <c r="G121" s="3"/>
      <c r="K121" s="2"/>
      <c r="M121" s="109"/>
      <c r="AK121" s="2"/>
    </row>
    <row r="122" spans="4:37" s="1" customFormat="1" ht="14.25" customHeight="1">
      <c r="D122" s="2"/>
      <c r="G122" s="3"/>
      <c r="K122" s="2"/>
      <c r="M122" s="109"/>
      <c r="AK122" s="2"/>
    </row>
    <row r="123" spans="4:37" s="1" customFormat="1" ht="14.25" customHeight="1">
      <c r="D123" s="2"/>
      <c r="G123" s="3"/>
      <c r="K123" s="2"/>
      <c r="M123" s="109"/>
      <c r="AK123" s="2"/>
    </row>
    <row r="124" spans="4:37" s="1" customFormat="1" ht="14.25" customHeight="1">
      <c r="D124" s="2"/>
      <c r="G124" s="3"/>
      <c r="K124" s="2"/>
      <c r="M124" s="109"/>
      <c r="AK124" s="2"/>
    </row>
    <row r="125" spans="4:37" s="1" customFormat="1" ht="14.25" customHeight="1">
      <c r="D125" s="2"/>
      <c r="G125" s="3"/>
      <c r="K125" s="2"/>
      <c r="M125" s="109"/>
      <c r="AK125" s="2"/>
    </row>
    <row r="126" spans="4:37" s="1" customFormat="1" ht="14.25" customHeight="1">
      <c r="D126" s="2"/>
      <c r="G126" s="3"/>
      <c r="K126" s="2"/>
      <c r="M126" s="109"/>
      <c r="AK126" s="2"/>
    </row>
    <row r="127" spans="4:37" s="1" customFormat="1" ht="14.25" customHeight="1">
      <c r="D127" s="2"/>
      <c r="G127" s="3"/>
      <c r="K127" s="2"/>
      <c r="M127" s="109"/>
      <c r="AK127" s="2"/>
    </row>
    <row r="128" spans="4:37" s="1" customFormat="1" ht="14.25" customHeight="1">
      <c r="D128" s="2"/>
      <c r="G128" s="3"/>
      <c r="K128" s="2"/>
      <c r="M128" s="109"/>
      <c r="AK128" s="2"/>
    </row>
    <row r="129" spans="4:37" s="1" customFormat="1" ht="14.25" customHeight="1">
      <c r="D129" s="2"/>
      <c r="G129" s="3"/>
      <c r="K129" s="2"/>
      <c r="M129" s="109"/>
      <c r="AK129" s="2"/>
    </row>
    <row r="130" spans="4:37" s="1" customFormat="1" ht="14.25" customHeight="1">
      <c r="D130" s="2"/>
      <c r="G130" s="3"/>
      <c r="K130" s="2"/>
      <c r="M130" s="109"/>
      <c r="AK130" s="2"/>
    </row>
    <row r="131" spans="4:37" s="1" customFormat="1" ht="14.25" customHeight="1">
      <c r="D131" s="2"/>
      <c r="G131" s="3"/>
      <c r="K131" s="2"/>
      <c r="M131" s="109"/>
      <c r="AK131" s="2"/>
    </row>
    <row r="132" spans="4:37" s="1" customFormat="1" ht="14.25" customHeight="1">
      <c r="D132" s="2"/>
      <c r="G132" s="3"/>
      <c r="K132" s="2"/>
      <c r="M132" s="109"/>
      <c r="AK132" s="2"/>
    </row>
    <row r="133" spans="4:37" s="1" customFormat="1" ht="14.25" customHeight="1">
      <c r="D133" s="2"/>
      <c r="G133" s="3"/>
      <c r="K133" s="2"/>
      <c r="M133" s="109"/>
      <c r="AK133" s="2"/>
    </row>
    <row r="134" spans="4:37" s="1" customFormat="1" ht="14.25" customHeight="1">
      <c r="D134" s="2"/>
      <c r="G134" s="3"/>
      <c r="K134" s="2"/>
      <c r="M134" s="109"/>
      <c r="AK134" s="2"/>
    </row>
    <row r="135" spans="4:37" s="1" customFormat="1" ht="14.25" customHeight="1">
      <c r="D135" s="2"/>
      <c r="G135" s="3"/>
      <c r="K135" s="2"/>
      <c r="M135" s="109"/>
      <c r="AK135" s="2"/>
    </row>
    <row r="136" spans="4:37" s="1" customFormat="1" ht="14.25" customHeight="1">
      <c r="D136" s="2"/>
      <c r="G136" s="3"/>
      <c r="K136" s="2"/>
      <c r="M136" s="109"/>
      <c r="AK136" s="2"/>
    </row>
    <row r="137" spans="4:37" s="1" customFormat="1" ht="14.25" customHeight="1">
      <c r="D137" s="2"/>
      <c r="G137" s="3"/>
      <c r="K137" s="2"/>
      <c r="M137" s="109"/>
      <c r="AK137" s="2"/>
    </row>
    <row r="138" spans="4:37" s="1" customFormat="1" ht="14.25" customHeight="1">
      <c r="D138" s="2"/>
      <c r="G138" s="3"/>
      <c r="K138" s="2"/>
      <c r="M138" s="109"/>
      <c r="AK138" s="2"/>
    </row>
    <row r="139" spans="4:37" s="1" customFormat="1" ht="14.25" customHeight="1">
      <c r="D139" s="2"/>
      <c r="G139" s="3"/>
      <c r="K139" s="2"/>
      <c r="M139" s="109"/>
      <c r="AK139" s="2"/>
    </row>
    <row r="140" spans="4:37" s="1" customFormat="1" ht="14.25" customHeight="1">
      <c r="D140" s="2"/>
      <c r="G140" s="3"/>
      <c r="K140" s="2"/>
      <c r="M140" s="109"/>
      <c r="AK140" s="2"/>
    </row>
    <row r="141" spans="4:37" s="1" customFormat="1" ht="14.25" customHeight="1">
      <c r="D141" s="2"/>
      <c r="G141" s="3"/>
      <c r="K141" s="2"/>
      <c r="M141" s="109"/>
      <c r="AK141" s="2"/>
    </row>
    <row r="142" spans="4:37" s="1" customFormat="1" ht="14.25" customHeight="1">
      <c r="D142" s="2"/>
      <c r="G142" s="3"/>
      <c r="K142" s="2"/>
      <c r="M142" s="109"/>
      <c r="AK142" s="2"/>
    </row>
    <row r="143" spans="4:37" s="1" customFormat="1" ht="14.25" customHeight="1">
      <c r="D143" s="2"/>
      <c r="G143" s="3"/>
      <c r="K143" s="2"/>
      <c r="M143" s="109"/>
      <c r="AK143" s="2"/>
    </row>
    <row r="144" spans="4:37" s="1" customFormat="1" ht="14.25" customHeight="1">
      <c r="D144" s="2"/>
      <c r="G144" s="3"/>
      <c r="K144" s="2"/>
      <c r="M144" s="109"/>
      <c r="AK144" s="2"/>
    </row>
    <row r="145" spans="4:37" s="1" customFormat="1" ht="14.25" customHeight="1">
      <c r="D145" s="2"/>
      <c r="G145" s="3"/>
      <c r="K145" s="2"/>
      <c r="M145" s="109"/>
      <c r="AK145" s="2"/>
    </row>
    <row r="146" spans="4:37" s="1" customFormat="1" ht="14.25" customHeight="1">
      <c r="D146" s="2"/>
      <c r="G146" s="3"/>
      <c r="K146" s="2"/>
      <c r="M146" s="109"/>
      <c r="AK146" s="2"/>
    </row>
    <row r="147" spans="4:37" s="1" customFormat="1" ht="14.25" customHeight="1">
      <c r="D147" s="2"/>
      <c r="G147" s="3"/>
      <c r="K147" s="2"/>
      <c r="M147" s="109"/>
      <c r="AK147" s="2"/>
    </row>
    <row r="148" spans="4:37" s="1" customFormat="1" ht="14.25" customHeight="1">
      <c r="D148" s="2"/>
      <c r="G148" s="3"/>
      <c r="K148" s="2"/>
      <c r="M148" s="109"/>
      <c r="AK148" s="2"/>
    </row>
    <row r="149" spans="4:37" s="1" customFormat="1" ht="14.25" customHeight="1">
      <c r="D149" s="2"/>
      <c r="G149" s="3"/>
      <c r="K149" s="2"/>
      <c r="M149" s="109"/>
      <c r="AK149" s="2"/>
    </row>
    <row r="150" spans="4:37" s="1" customFormat="1" ht="14.25" customHeight="1">
      <c r="D150" s="2"/>
      <c r="G150" s="3"/>
      <c r="K150" s="2"/>
      <c r="M150" s="109"/>
      <c r="AK150" s="2"/>
    </row>
    <row r="151" spans="4:37" s="1" customFormat="1" ht="14.25" customHeight="1">
      <c r="D151" s="2"/>
      <c r="G151" s="3"/>
      <c r="K151" s="2"/>
      <c r="M151" s="109"/>
      <c r="AK151" s="2"/>
    </row>
    <row r="152" spans="4:37" s="1" customFormat="1" ht="14.25" customHeight="1">
      <c r="D152" s="2"/>
      <c r="G152" s="3"/>
      <c r="K152" s="2"/>
      <c r="M152" s="109"/>
      <c r="AK152" s="2"/>
    </row>
    <row r="153" spans="4:37" s="1" customFormat="1" ht="14.25" customHeight="1">
      <c r="D153" s="2"/>
      <c r="G153" s="3"/>
      <c r="K153" s="2"/>
      <c r="M153" s="109"/>
      <c r="AK153" s="2"/>
    </row>
    <row r="154" spans="4:37" s="1" customFormat="1" ht="14.25" customHeight="1">
      <c r="D154" s="2"/>
      <c r="G154" s="3"/>
      <c r="K154" s="2"/>
      <c r="M154" s="109"/>
      <c r="AK154" s="2"/>
    </row>
    <row r="155" spans="4:37" s="1" customFormat="1" ht="14.25" customHeight="1">
      <c r="D155" s="2"/>
      <c r="G155" s="3"/>
      <c r="K155" s="2"/>
      <c r="M155" s="109"/>
      <c r="AK155" s="2"/>
    </row>
    <row r="156" spans="4:37" s="1" customFormat="1" ht="14.25" customHeight="1">
      <c r="D156" s="2"/>
      <c r="G156" s="3"/>
      <c r="K156" s="2"/>
      <c r="M156" s="109"/>
      <c r="AK156" s="2"/>
    </row>
    <row r="157" spans="4:37" s="1" customFormat="1" ht="14.25" customHeight="1">
      <c r="D157" s="2"/>
      <c r="G157" s="3"/>
      <c r="K157" s="2"/>
      <c r="M157" s="109"/>
      <c r="AK157" s="2"/>
    </row>
    <row r="158" spans="4:37" s="1" customFormat="1" ht="14.25" customHeight="1">
      <c r="D158" s="2"/>
      <c r="G158" s="3"/>
      <c r="K158" s="2"/>
      <c r="M158" s="109"/>
      <c r="AK158" s="2"/>
    </row>
    <row r="159" spans="4:37" s="1" customFormat="1" ht="14.25" customHeight="1">
      <c r="D159" s="2"/>
      <c r="G159" s="3"/>
      <c r="K159" s="2"/>
      <c r="M159" s="109"/>
      <c r="AK159" s="2"/>
    </row>
    <row r="160" spans="4:37" s="1" customFormat="1" ht="14.25" customHeight="1">
      <c r="D160" s="2"/>
      <c r="G160" s="3"/>
      <c r="K160" s="2"/>
      <c r="M160" s="109"/>
      <c r="AK160" s="2"/>
    </row>
    <row r="161" spans="4:37" s="1" customFormat="1" ht="14.25" customHeight="1">
      <c r="D161" s="2"/>
      <c r="G161" s="3"/>
      <c r="K161" s="2"/>
      <c r="M161" s="109"/>
      <c r="AK161" s="2"/>
    </row>
    <row r="162" spans="4:37" s="1" customFormat="1" ht="14.25" customHeight="1">
      <c r="D162" s="2"/>
      <c r="G162" s="3"/>
      <c r="K162" s="2"/>
      <c r="M162" s="109"/>
      <c r="AK162" s="2"/>
    </row>
    <row r="163" spans="4:37" s="1" customFormat="1" ht="14.25" customHeight="1">
      <c r="D163" s="2"/>
      <c r="G163" s="3"/>
      <c r="K163" s="2"/>
      <c r="M163" s="109"/>
      <c r="AK163" s="2"/>
    </row>
    <row r="164" spans="4:37" s="1" customFormat="1" ht="14.25" customHeight="1">
      <c r="D164" s="2"/>
      <c r="G164" s="3"/>
      <c r="K164" s="2"/>
      <c r="M164" s="109"/>
      <c r="AK164" s="2"/>
    </row>
    <row r="165" spans="4:37" s="1" customFormat="1" ht="14.25" customHeight="1">
      <c r="D165" s="2"/>
      <c r="G165" s="3"/>
      <c r="K165" s="2"/>
      <c r="M165" s="109"/>
      <c r="AK165" s="2"/>
    </row>
    <row r="166" spans="4:37" s="1" customFormat="1" ht="14.25" customHeight="1">
      <c r="D166" s="2"/>
      <c r="G166" s="3"/>
      <c r="K166" s="2"/>
      <c r="M166" s="109"/>
      <c r="AK166" s="2"/>
    </row>
    <row r="167" spans="4:37" s="1" customFormat="1" ht="14.25" customHeight="1">
      <c r="D167" s="2"/>
      <c r="G167" s="3"/>
      <c r="K167" s="2"/>
      <c r="M167" s="109"/>
      <c r="AK167" s="2"/>
    </row>
    <row r="168" spans="4:37" s="1" customFormat="1" ht="14.25" customHeight="1">
      <c r="D168" s="2"/>
      <c r="G168" s="3"/>
      <c r="K168" s="2"/>
      <c r="M168" s="109"/>
      <c r="AK168" s="2"/>
    </row>
    <row r="169" spans="4:37" s="1" customFormat="1" ht="14.25" customHeight="1">
      <c r="D169" s="2"/>
      <c r="G169" s="3"/>
      <c r="K169" s="2"/>
      <c r="M169" s="109"/>
      <c r="AK169" s="2"/>
    </row>
    <row r="170" spans="4:37" s="1" customFormat="1" ht="14.25" customHeight="1">
      <c r="D170" s="2"/>
      <c r="G170" s="3"/>
      <c r="K170" s="2"/>
      <c r="M170" s="109"/>
      <c r="AK170" s="2"/>
    </row>
    <row r="171" spans="4:37" s="1" customFormat="1" ht="14.25" customHeight="1">
      <c r="D171" s="2"/>
      <c r="G171" s="3"/>
      <c r="K171" s="2"/>
      <c r="M171" s="109"/>
      <c r="AK171" s="2"/>
    </row>
    <row r="172" spans="4:37" s="1" customFormat="1" ht="14.25" customHeight="1">
      <c r="D172" s="2"/>
      <c r="G172" s="3"/>
      <c r="K172" s="2"/>
      <c r="M172" s="109"/>
      <c r="AK172" s="2"/>
    </row>
    <row r="173" spans="4:37" s="1" customFormat="1" ht="14.25" customHeight="1">
      <c r="D173" s="2"/>
      <c r="G173" s="3"/>
      <c r="K173" s="2"/>
      <c r="M173" s="109"/>
      <c r="AK173" s="2"/>
    </row>
    <row r="174" spans="4:37" s="1" customFormat="1" ht="14.25" customHeight="1">
      <c r="D174" s="2"/>
      <c r="G174" s="3"/>
      <c r="K174" s="2"/>
      <c r="M174" s="109"/>
      <c r="AK174" s="2"/>
    </row>
    <row r="175" spans="4:37" s="1" customFormat="1" ht="14.25" customHeight="1">
      <c r="D175" s="2"/>
      <c r="G175" s="3"/>
      <c r="K175" s="2"/>
      <c r="M175" s="109"/>
      <c r="AK175" s="2"/>
    </row>
    <row r="176" spans="4:37" s="1" customFormat="1" ht="14.25" customHeight="1">
      <c r="D176" s="2"/>
      <c r="G176" s="3"/>
      <c r="K176" s="2"/>
      <c r="M176" s="109"/>
      <c r="AK176" s="2"/>
    </row>
    <row r="177" spans="4:37" s="1" customFormat="1" ht="14.25" customHeight="1">
      <c r="D177" s="2"/>
      <c r="G177" s="3"/>
      <c r="K177" s="2"/>
      <c r="M177" s="109"/>
      <c r="AK177" s="2"/>
    </row>
    <row r="178" spans="4:37" s="1" customFormat="1" ht="14.25" customHeight="1">
      <c r="D178" s="2"/>
      <c r="G178" s="3"/>
      <c r="K178" s="2"/>
      <c r="M178" s="109"/>
      <c r="AK178" s="2"/>
    </row>
    <row r="179" spans="4:37" s="1" customFormat="1" ht="14.25" customHeight="1">
      <c r="D179" s="2"/>
      <c r="G179" s="3"/>
      <c r="K179" s="2"/>
      <c r="M179" s="109"/>
      <c r="AK179" s="2"/>
    </row>
    <row r="180" spans="4:37" s="1" customFormat="1" ht="14.25" customHeight="1">
      <c r="D180" s="2"/>
      <c r="G180" s="3"/>
      <c r="K180" s="2"/>
      <c r="M180" s="109"/>
      <c r="AK180" s="2"/>
    </row>
    <row r="181" spans="4:37" s="1" customFormat="1" ht="14.25" customHeight="1">
      <c r="D181" s="2"/>
      <c r="G181" s="3"/>
      <c r="K181" s="2"/>
      <c r="M181" s="109"/>
      <c r="AK181" s="2"/>
    </row>
    <row r="182" spans="4:37" s="1" customFormat="1" ht="14.25" customHeight="1">
      <c r="D182" s="2"/>
      <c r="G182" s="3"/>
      <c r="K182" s="2"/>
      <c r="M182" s="109"/>
      <c r="AK182" s="2"/>
    </row>
    <row r="183" spans="4:37" s="1" customFormat="1" ht="14.25" customHeight="1">
      <c r="D183" s="2"/>
      <c r="G183" s="3"/>
      <c r="K183" s="2"/>
      <c r="M183" s="109"/>
      <c r="AK183" s="2"/>
    </row>
    <row r="184" spans="4:37" s="1" customFormat="1" ht="14.25" customHeight="1">
      <c r="D184" s="2"/>
      <c r="G184" s="3"/>
      <c r="K184" s="2"/>
      <c r="M184" s="109"/>
      <c r="AK184" s="2"/>
    </row>
    <row r="185" spans="4:37" s="1" customFormat="1" ht="14.25" customHeight="1">
      <c r="D185" s="2"/>
      <c r="G185" s="3"/>
      <c r="K185" s="2"/>
      <c r="M185" s="109"/>
      <c r="AK185" s="2"/>
    </row>
    <row r="186" spans="4:37" s="1" customFormat="1" ht="14.25" customHeight="1">
      <c r="D186" s="2"/>
      <c r="G186" s="3"/>
      <c r="K186" s="2"/>
      <c r="M186" s="109"/>
      <c r="AK186" s="2"/>
    </row>
    <row r="187" spans="4:37" s="1" customFormat="1" ht="14.25" customHeight="1">
      <c r="D187" s="2"/>
      <c r="G187" s="3"/>
      <c r="K187" s="2"/>
      <c r="M187" s="109"/>
      <c r="AK187" s="2"/>
    </row>
    <row r="188" spans="4:37" s="1" customFormat="1" ht="14.25" customHeight="1">
      <c r="D188" s="2"/>
      <c r="G188" s="3"/>
      <c r="K188" s="2"/>
      <c r="M188" s="109"/>
      <c r="AK188" s="2"/>
    </row>
    <row r="189" spans="4:37" s="1" customFormat="1" ht="14.25" customHeight="1">
      <c r="D189" s="2"/>
      <c r="G189" s="3"/>
      <c r="K189" s="2"/>
      <c r="M189" s="109"/>
      <c r="AK189" s="2"/>
    </row>
    <row r="190" spans="4:37" s="1" customFormat="1" ht="14.25" customHeight="1">
      <c r="D190" s="2"/>
      <c r="G190" s="3"/>
      <c r="K190" s="2"/>
      <c r="M190" s="109"/>
      <c r="AK190" s="2"/>
    </row>
    <row r="191" spans="4:37" s="1" customFormat="1" ht="14.25" customHeight="1">
      <c r="D191" s="2"/>
      <c r="G191" s="3"/>
      <c r="K191" s="2"/>
      <c r="M191" s="109"/>
      <c r="AK191" s="2"/>
    </row>
    <row r="192" spans="4:37" s="1" customFormat="1" ht="14.25" customHeight="1">
      <c r="D192" s="2"/>
      <c r="G192" s="3"/>
      <c r="K192" s="2"/>
      <c r="M192" s="109"/>
      <c r="AK192" s="2"/>
    </row>
    <row r="193" spans="4:37" s="1" customFormat="1" ht="14.25" customHeight="1">
      <c r="D193" s="2"/>
      <c r="G193" s="3"/>
      <c r="K193" s="2"/>
      <c r="M193" s="109"/>
      <c r="AK193" s="2"/>
    </row>
    <row r="194" spans="4:37" s="1" customFormat="1" ht="14.25" customHeight="1">
      <c r="D194" s="2"/>
      <c r="G194" s="3"/>
      <c r="K194" s="2"/>
      <c r="M194" s="109"/>
      <c r="AK194" s="2"/>
    </row>
    <row r="195" spans="4:37" s="1" customFormat="1" ht="14.25" customHeight="1">
      <c r="D195" s="2"/>
      <c r="G195" s="3"/>
      <c r="K195" s="2"/>
      <c r="M195" s="109"/>
      <c r="AK195" s="2"/>
    </row>
    <row r="196" spans="4:37" s="1" customFormat="1" ht="14.25" customHeight="1">
      <c r="D196" s="2"/>
      <c r="G196" s="3"/>
      <c r="K196" s="2"/>
      <c r="M196" s="109"/>
      <c r="AK196" s="2"/>
    </row>
    <row r="197" spans="4:37" s="1" customFormat="1" ht="14.25" customHeight="1">
      <c r="D197" s="2"/>
      <c r="G197" s="3"/>
      <c r="K197" s="2"/>
      <c r="M197" s="109"/>
      <c r="AK197" s="2"/>
    </row>
    <row r="198" spans="4:37" s="1" customFormat="1" ht="14.25" customHeight="1">
      <c r="D198" s="2"/>
      <c r="G198" s="3"/>
      <c r="K198" s="2"/>
      <c r="M198" s="109"/>
      <c r="AK198" s="2"/>
    </row>
    <row r="199" spans="4:37" s="1" customFormat="1" ht="14.25" customHeight="1">
      <c r="D199" s="2"/>
      <c r="G199" s="3"/>
      <c r="K199" s="2"/>
      <c r="M199" s="109"/>
      <c r="AK199" s="2"/>
    </row>
    <row r="200" spans="4:37" s="1" customFormat="1" ht="14.25" customHeight="1">
      <c r="D200" s="2"/>
      <c r="G200" s="3"/>
      <c r="K200" s="2"/>
      <c r="M200" s="109"/>
      <c r="AK200" s="2"/>
    </row>
    <row r="201" spans="4:37" s="1" customFormat="1" ht="14.25" customHeight="1">
      <c r="D201" s="2"/>
      <c r="G201" s="3"/>
      <c r="K201" s="2"/>
      <c r="M201" s="109"/>
      <c r="AK201" s="2"/>
    </row>
    <row r="202" spans="4:37" s="1" customFormat="1" ht="14.25" customHeight="1">
      <c r="D202" s="2"/>
      <c r="G202" s="3"/>
      <c r="K202" s="2"/>
      <c r="M202" s="109"/>
      <c r="AK202" s="2"/>
    </row>
    <row r="203" spans="4:37" s="1" customFormat="1" ht="14.25" customHeight="1">
      <c r="D203" s="2"/>
      <c r="G203" s="3"/>
      <c r="K203" s="2"/>
      <c r="M203" s="109"/>
      <c r="AK203" s="2"/>
    </row>
    <row r="204" spans="4:37" s="1" customFormat="1" ht="14.25" customHeight="1">
      <c r="D204" s="2"/>
      <c r="G204" s="3"/>
      <c r="K204" s="2"/>
      <c r="M204" s="109"/>
      <c r="AK204" s="2"/>
    </row>
    <row r="205" spans="4:37" s="1" customFormat="1" ht="14.25" customHeight="1">
      <c r="D205" s="2"/>
      <c r="G205" s="3"/>
      <c r="K205" s="2"/>
      <c r="M205" s="109"/>
      <c r="AK205" s="2"/>
    </row>
    <row r="206" spans="4:37" s="1" customFormat="1" ht="14.25" customHeight="1">
      <c r="D206" s="2"/>
      <c r="G206" s="3"/>
      <c r="K206" s="2"/>
      <c r="M206" s="109"/>
      <c r="AK206" s="2"/>
    </row>
    <row r="207" spans="4:37" s="1" customFormat="1" ht="14.25" customHeight="1">
      <c r="D207" s="2"/>
      <c r="G207" s="3"/>
      <c r="K207" s="2"/>
      <c r="M207" s="109"/>
      <c r="AK207" s="2"/>
    </row>
    <row r="208" spans="4:37" s="1" customFormat="1" ht="14.25" customHeight="1">
      <c r="D208" s="2"/>
      <c r="G208" s="3"/>
      <c r="K208" s="2"/>
      <c r="M208" s="109"/>
      <c r="AK208" s="2"/>
    </row>
    <row r="209" spans="4:37" s="1" customFormat="1" ht="14.25" customHeight="1">
      <c r="D209" s="2"/>
      <c r="G209" s="3"/>
      <c r="K209" s="2"/>
      <c r="M209" s="109"/>
      <c r="AK209" s="2"/>
    </row>
    <row r="210" spans="4:37" s="1" customFormat="1" ht="14.25" customHeight="1">
      <c r="D210" s="2"/>
      <c r="G210" s="3"/>
      <c r="K210" s="2"/>
      <c r="M210" s="109"/>
      <c r="AK210" s="2"/>
    </row>
    <row r="211" spans="4:37" s="1" customFormat="1" ht="14.25" customHeight="1">
      <c r="D211" s="2"/>
      <c r="G211" s="3"/>
      <c r="K211" s="2"/>
      <c r="M211" s="109"/>
      <c r="AK211" s="2"/>
    </row>
    <row r="212" spans="4:37" s="1" customFormat="1" ht="14.25" customHeight="1">
      <c r="D212" s="2"/>
      <c r="G212" s="3"/>
      <c r="K212" s="2"/>
      <c r="M212" s="109"/>
      <c r="AK212" s="2"/>
    </row>
    <row r="213" spans="4:37" s="1" customFormat="1" ht="14.25" customHeight="1">
      <c r="D213" s="2"/>
      <c r="G213" s="3"/>
      <c r="K213" s="2"/>
      <c r="M213" s="109"/>
      <c r="AK213" s="2"/>
    </row>
    <row r="214" spans="4:37" s="1" customFormat="1" ht="14.25" customHeight="1">
      <c r="D214" s="2"/>
      <c r="G214" s="3"/>
      <c r="K214" s="2"/>
      <c r="M214" s="109"/>
      <c r="AK214" s="2"/>
    </row>
    <row r="215" spans="4:37" s="1" customFormat="1" ht="14.25" customHeight="1">
      <c r="D215" s="2"/>
      <c r="G215" s="3"/>
      <c r="K215" s="2"/>
      <c r="M215" s="109"/>
      <c r="AK215" s="2"/>
    </row>
    <row r="216" spans="4:37" s="1" customFormat="1" ht="14.25" customHeight="1">
      <c r="D216" s="2"/>
      <c r="G216" s="3"/>
      <c r="K216" s="2"/>
      <c r="M216" s="109"/>
      <c r="AK216" s="2"/>
    </row>
    <row r="217" spans="4:37" s="1" customFormat="1" ht="14.25" customHeight="1">
      <c r="D217" s="2"/>
      <c r="G217" s="3"/>
      <c r="K217" s="2"/>
      <c r="M217" s="109"/>
      <c r="AK217" s="2"/>
    </row>
    <row r="218" spans="4:37" s="1" customFormat="1" ht="14.25" customHeight="1">
      <c r="D218" s="2"/>
      <c r="G218" s="3"/>
      <c r="K218" s="2"/>
      <c r="M218" s="109"/>
      <c r="AK218" s="2"/>
    </row>
    <row r="219" spans="4:37" s="1" customFormat="1" ht="14.25" customHeight="1">
      <c r="D219" s="2"/>
      <c r="G219" s="3"/>
      <c r="K219" s="2"/>
      <c r="M219" s="109"/>
      <c r="AK219" s="2"/>
    </row>
    <row r="220" spans="4:37" s="1" customFormat="1" ht="14.25" customHeight="1">
      <c r="D220" s="2"/>
      <c r="G220" s="3"/>
      <c r="K220" s="2"/>
      <c r="M220" s="109"/>
      <c r="AK220" s="2"/>
    </row>
    <row r="221" spans="4:37" s="1" customFormat="1" ht="14.25" customHeight="1">
      <c r="D221" s="2"/>
      <c r="G221" s="3"/>
      <c r="K221" s="2"/>
      <c r="M221" s="109"/>
      <c r="AK221" s="2"/>
    </row>
    <row r="222" spans="4:37" s="1" customFormat="1" ht="14.25" customHeight="1">
      <c r="D222" s="2"/>
      <c r="G222" s="3"/>
      <c r="K222" s="2"/>
      <c r="M222" s="109"/>
      <c r="AK222" s="2"/>
    </row>
    <row r="223" spans="4:37" s="1" customFormat="1" ht="14.25" customHeight="1">
      <c r="D223" s="2"/>
      <c r="G223" s="3"/>
      <c r="K223" s="2"/>
      <c r="M223" s="109"/>
      <c r="AK223" s="2"/>
    </row>
    <row r="224" spans="4:37" s="1" customFormat="1" ht="14.25" customHeight="1">
      <c r="D224" s="2"/>
      <c r="G224" s="3"/>
      <c r="K224" s="2"/>
      <c r="M224" s="109"/>
      <c r="AK224" s="2"/>
    </row>
    <row r="225" spans="13:13" ht="14.25" customHeight="1">
      <c r="M225" s="109"/>
    </row>
    <row r="226" spans="13:13" ht="14.25" customHeight="1">
      <c r="M226" s="109"/>
    </row>
    <row r="227" spans="13:13" ht="14.25" customHeight="1">
      <c r="M227" s="109"/>
    </row>
    <row r="228" spans="13:13" ht="14.25" customHeight="1">
      <c r="M228" s="109"/>
    </row>
    <row r="229" spans="13:13" ht="14.25" customHeight="1">
      <c r="M229" s="109"/>
    </row>
    <row r="230" spans="13:13" ht="14.25" customHeight="1">
      <c r="M230" s="109"/>
    </row>
    <row r="231" spans="13:13" ht="14.25" customHeight="1">
      <c r="M231" s="109"/>
    </row>
    <row r="232" spans="13:13" ht="14.25" customHeight="1">
      <c r="M232" s="109"/>
    </row>
    <row r="233" spans="13:13" ht="14.25" customHeight="1">
      <c r="M233" s="109"/>
    </row>
    <row r="234" spans="13:13" ht="14.25" customHeight="1">
      <c r="M234" s="109"/>
    </row>
    <row r="235" spans="13:13" ht="14.25" customHeight="1">
      <c r="M235" s="109"/>
    </row>
    <row r="236" spans="13:13" ht="14.25" customHeight="1">
      <c r="M236" s="109"/>
    </row>
    <row r="237" spans="13:13" ht="14.25" customHeight="1">
      <c r="M237" s="109"/>
    </row>
    <row r="238" spans="13:13" ht="14.25" customHeight="1">
      <c r="M238" s="109"/>
    </row>
    <row r="239" spans="13:13" ht="14.25" customHeight="1">
      <c r="M239" s="109"/>
    </row>
    <row r="240" spans="13:13" ht="14.25" customHeight="1">
      <c r="M240" s="109"/>
    </row>
    <row r="241" spans="13:13" ht="14.25" customHeight="1">
      <c r="M241" s="109"/>
    </row>
    <row r="242" spans="13:13" ht="14.25" customHeight="1">
      <c r="M242" s="109"/>
    </row>
    <row r="243" spans="13:13" ht="14.25" customHeight="1">
      <c r="M243" s="109"/>
    </row>
    <row r="244" spans="13:13" ht="14.25" customHeight="1">
      <c r="M244" s="109"/>
    </row>
    <row r="245" spans="13:13" ht="14.25" customHeight="1">
      <c r="M245" s="109"/>
    </row>
    <row r="246" spans="13:13" ht="14.25" customHeight="1">
      <c r="M246" s="109"/>
    </row>
    <row r="247" spans="13:13" ht="14.25" customHeight="1">
      <c r="M247" s="109"/>
    </row>
    <row r="248" spans="13:13" ht="14.25" customHeight="1">
      <c r="M248" s="109"/>
    </row>
    <row r="249" spans="13:13" ht="14.25" customHeight="1">
      <c r="M249" s="109"/>
    </row>
    <row r="250" spans="13:13" ht="14.25" customHeight="1">
      <c r="M250" s="109"/>
    </row>
    <row r="251" spans="13:13" ht="14.25" customHeight="1">
      <c r="M251" s="109"/>
    </row>
    <row r="252" spans="13:13" ht="14.25" customHeight="1">
      <c r="M252" s="109"/>
    </row>
    <row r="253" spans="13:13" ht="14.25" customHeight="1">
      <c r="M253" s="109"/>
    </row>
    <row r="254" spans="13:13" ht="14.25" customHeight="1">
      <c r="M254" s="109"/>
    </row>
    <row r="255" spans="13:13" ht="14.25" customHeight="1">
      <c r="M255" s="109"/>
    </row>
    <row r="256" spans="13:13" ht="14.25" customHeight="1">
      <c r="M256" s="109"/>
    </row>
    <row r="257" spans="13:13" ht="14.25" customHeight="1">
      <c r="M257" s="109"/>
    </row>
    <row r="258" spans="13:13" ht="14.25" customHeight="1">
      <c r="M258" s="109"/>
    </row>
    <row r="259" spans="13:13" ht="14.25" customHeight="1">
      <c r="M259" s="109"/>
    </row>
    <row r="260" spans="13:13" ht="14.25" customHeight="1">
      <c r="M260" s="109"/>
    </row>
    <row r="261" spans="13:13" ht="14.25" customHeight="1">
      <c r="M261" s="109"/>
    </row>
    <row r="262" spans="13:13" ht="14.25" customHeight="1">
      <c r="M262" s="109"/>
    </row>
    <row r="263" spans="13:13" ht="14.25" customHeight="1">
      <c r="M263" s="109"/>
    </row>
    <row r="264" spans="13:13" ht="14.25" customHeight="1">
      <c r="M264" s="109"/>
    </row>
    <row r="265" spans="13:13" ht="14.25" customHeight="1">
      <c r="M265" s="109"/>
    </row>
    <row r="266" spans="13:13" ht="14.25" customHeight="1">
      <c r="M266" s="109"/>
    </row>
    <row r="267" spans="13:13" ht="14.25" customHeight="1">
      <c r="M267" s="109"/>
    </row>
    <row r="268" spans="13:13" ht="14.25" customHeight="1">
      <c r="M268" s="109"/>
    </row>
    <row r="269" spans="13:13" ht="14.25" customHeight="1">
      <c r="M269" s="109"/>
    </row>
    <row r="270" spans="13:13" ht="14.25" customHeight="1">
      <c r="M270" s="109"/>
    </row>
    <row r="271" spans="13:13" ht="14.25" customHeight="1">
      <c r="M271" s="109"/>
    </row>
    <row r="272" spans="13:13" ht="14.25" customHeight="1">
      <c r="M272" s="109"/>
    </row>
    <row r="273" spans="13:13" ht="14.25" customHeight="1">
      <c r="M273" s="109"/>
    </row>
    <row r="274" spans="13:13" ht="14.25" customHeight="1">
      <c r="M274" s="109"/>
    </row>
    <row r="275" spans="13:13" ht="14.25" customHeight="1">
      <c r="M275" s="109"/>
    </row>
    <row r="276" spans="13:13" ht="14.25" customHeight="1">
      <c r="M276" s="109"/>
    </row>
    <row r="277" spans="13:13" ht="14.25" customHeight="1">
      <c r="M277" s="109"/>
    </row>
    <row r="278" spans="13:13" ht="14.25" customHeight="1">
      <c r="M278" s="109"/>
    </row>
    <row r="279" spans="13:13" ht="14.25" customHeight="1">
      <c r="M279" s="109"/>
    </row>
    <row r="280" spans="13:13" ht="14.25" customHeight="1">
      <c r="M280" s="109"/>
    </row>
    <row r="281" spans="13:13" ht="14.25" customHeight="1">
      <c r="M281" s="109"/>
    </row>
    <row r="282" spans="13:13" ht="14.25" customHeight="1">
      <c r="M282" s="109"/>
    </row>
    <row r="283" spans="13:13" ht="14.25" customHeight="1">
      <c r="M283" s="109"/>
    </row>
    <row r="284" spans="13:13" ht="14.25" customHeight="1">
      <c r="M284" s="109"/>
    </row>
    <row r="285" spans="13:13" ht="14.25" customHeight="1">
      <c r="M285" s="109"/>
    </row>
    <row r="286" spans="13:13" ht="14.25" customHeight="1">
      <c r="M286" s="109"/>
    </row>
    <row r="287" spans="13:13" ht="14.25" customHeight="1">
      <c r="M287" s="109"/>
    </row>
    <row r="288" spans="13:13" ht="14.25" customHeight="1">
      <c r="M288" s="109"/>
    </row>
    <row r="289" spans="13:13" ht="14.25" customHeight="1">
      <c r="M289" s="109"/>
    </row>
    <row r="290" spans="13:13" ht="14.25" customHeight="1">
      <c r="M290" s="109"/>
    </row>
    <row r="291" spans="13:13" ht="14.25" customHeight="1">
      <c r="M291" s="109"/>
    </row>
    <row r="292" spans="13:13" ht="14.25" customHeight="1">
      <c r="M292" s="109"/>
    </row>
    <row r="293" spans="13:13" ht="14.25" customHeight="1">
      <c r="M293" s="109"/>
    </row>
    <row r="294" spans="13:13" ht="14.25" customHeight="1">
      <c r="M294" s="109"/>
    </row>
    <row r="295" spans="13:13" ht="14.25" customHeight="1">
      <c r="M295" s="109"/>
    </row>
    <row r="296" spans="13:13" ht="14.25" customHeight="1">
      <c r="M296" s="109"/>
    </row>
    <row r="297" spans="13:13" ht="14.25" customHeight="1">
      <c r="M297" s="109"/>
    </row>
    <row r="298" spans="13:13" ht="14.25" customHeight="1">
      <c r="M298" s="109"/>
    </row>
    <row r="299" spans="13:13" ht="14.25" customHeight="1">
      <c r="M299" s="109"/>
    </row>
    <row r="300" spans="13:13" ht="14.25" customHeight="1">
      <c r="M300" s="109"/>
    </row>
    <row r="301" spans="13:13" ht="14.25" customHeight="1">
      <c r="M301" s="109"/>
    </row>
    <row r="302" spans="13:13" ht="14.25" customHeight="1">
      <c r="M302" s="109"/>
    </row>
    <row r="303" spans="13:13" ht="14.25" customHeight="1">
      <c r="M303" s="109"/>
    </row>
    <row r="304" spans="13:13" ht="14.25" customHeight="1">
      <c r="M304" s="109"/>
    </row>
    <row r="305" spans="13:13" ht="14.25" customHeight="1">
      <c r="M305" s="109"/>
    </row>
    <row r="306" spans="13:13" ht="14.25" customHeight="1">
      <c r="M306" s="109"/>
    </row>
    <row r="307" spans="13:13" ht="14.25" customHeight="1">
      <c r="M307" s="109"/>
    </row>
    <row r="308" spans="13:13" ht="14.25" customHeight="1">
      <c r="M308" s="109"/>
    </row>
    <row r="309" spans="13:13" ht="14.25" customHeight="1">
      <c r="M309" s="109"/>
    </row>
    <row r="310" spans="13:13" ht="14.25" customHeight="1">
      <c r="M310" s="109"/>
    </row>
    <row r="311" spans="13:13" ht="14.25" customHeight="1">
      <c r="M311" s="109"/>
    </row>
    <row r="312" spans="13:13" ht="14.25" customHeight="1">
      <c r="M312" s="109"/>
    </row>
    <row r="313" spans="13:13" ht="14.25" customHeight="1">
      <c r="M313" s="109"/>
    </row>
    <row r="314" spans="13:13" ht="14.25" customHeight="1">
      <c r="M314" s="109"/>
    </row>
    <row r="315" spans="13:13" ht="14.25" customHeight="1">
      <c r="M315" s="109"/>
    </row>
    <row r="316" spans="13:13" ht="14.25" customHeight="1">
      <c r="M316" s="109"/>
    </row>
    <row r="317" spans="13:13" ht="14.25" customHeight="1">
      <c r="M317" s="109"/>
    </row>
    <row r="318" spans="13:13" ht="14.25" customHeight="1">
      <c r="M318" s="109"/>
    </row>
    <row r="319" spans="13:13" ht="14.25" customHeight="1">
      <c r="M319" s="109"/>
    </row>
    <row r="320" spans="13:13" ht="14.25" customHeight="1">
      <c r="M320" s="109"/>
    </row>
    <row r="321" spans="13:13" ht="14.25" customHeight="1">
      <c r="M321" s="109"/>
    </row>
    <row r="322" spans="13:13" ht="14.25" customHeight="1">
      <c r="M322" s="109"/>
    </row>
    <row r="323" spans="13:13" ht="14.25" customHeight="1">
      <c r="M323" s="109"/>
    </row>
    <row r="324" spans="13:13" ht="14.25" customHeight="1">
      <c r="M324" s="109"/>
    </row>
    <row r="325" spans="13:13" ht="14.25" customHeight="1">
      <c r="M325" s="109"/>
    </row>
    <row r="326" spans="13:13" ht="14.25" customHeight="1">
      <c r="M326" s="109"/>
    </row>
    <row r="327" spans="13:13" ht="14.25" customHeight="1">
      <c r="M327" s="109"/>
    </row>
    <row r="328" spans="13:13" ht="14.25" customHeight="1">
      <c r="M328" s="109"/>
    </row>
    <row r="329" spans="13:13" ht="14.25" customHeight="1">
      <c r="M329" s="109"/>
    </row>
    <row r="330" spans="13:13" ht="14.25" customHeight="1">
      <c r="M330" s="109"/>
    </row>
    <row r="331" spans="13:13" ht="14.25" customHeight="1">
      <c r="M331" s="109"/>
    </row>
    <row r="332" spans="13:13" ht="14.25" customHeight="1">
      <c r="M332" s="109"/>
    </row>
    <row r="333" spans="13:13" ht="14.25" customHeight="1">
      <c r="M333" s="109"/>
    </row>
    <row r="334" spans="13:13" ht="14.25" customHeight="1">
      <c r="M334" s="109"/>
    </row>
    <row r="335" spans="13:13" ht="14.25" customHeight="1">
      <c r="M335" s="109"/>
    </row>
    <row r="336" spans="13:13" ht="14.25" customHeight="1">
      <c r="M336" s="109"/>
    </row>
    <row r="337" spans="13:13" ht="14.25" customHeight="1">
      <c r="M337" s="109"/>
    </row>
    <row r="338" spans="13:13" ht="14.25" customHeight="1">
      <c r="M338" s="109"/>
    </row>
    <row r="339" spans="13:13" ht="14.25" customHeight="1">
      <c r="M339" s="109"/>
    </row>
    <row r="340" spans="13:13" ht="14.25" customHeight="1">
      <c r="M340" s="109"/>
    </row>
    <row r="341" spans="13:13" ht="14.25" customHeight="1">
      <c r="M341" s="109"/>
    </row>
    <row r="342" spans="13:13" ht="14.25" customHeight="1">
      <c r="M342" s="109"/>
    </row>
    <row r="343" spans="13:13" ht="14.25" customHeight="1">
      <c r="M343" s="109"/>
    </row>
    <row r="344" spans="13:13" ht="14.25" customHeight="1">
      <c r="M344" s="109"/>
    </row>
    <row r="345" spans="13:13" ht="14.25" customHeight="1">
      <c r="M345" s="109"/>
    </row>
    <row r="346" spans="13:13" ht="14.25" customHeight="1">
      <c r="M346" s="109"/>
    </row>
    <row r="347" spans="13:13" ht="14.25" customHeight="1">
      <c r="M347" s="109"/>
    </row>
    <row r="348" spans="13:13" ht="14.25" customHeight="1">
      <c r="M348" s="109"/>
    </row>
    <row r="349" spans="13:13" ht="14.25" customHeight="1">
      <c r="M349" s="109"/>
    </row>
    <row r="350" spans="13:13" ht="14.25" customHeight="1">
      <c r="M350" s="109"/>
    </row>
    <row r="351" spans="13:13" ht="14.25" customHeight="1">
      <c r="M351" s="109"/>
    </row>
    <row r="352" spans="13:13" ht="14.25" customHeight="1">
      <c r="M352" s="109"/>
    </row>
    <row r="353" spans="13:13" ht="14.25" customHeight="1">
      <c r="M353" s="109"/>
    </row>
    <row r="354" spans="13:13" ht="14.25" customHeight="1">
      <c r="M354" s="109"/>
    </row>
    <row r="355" spans="13:13" ht="14.25" customHeight="1">
      <c r="M355" s="109"/>
    </row>
    <row r="356" spans="13:13" ht="14.25" customHeight="1">
      <c r="M356" s="109"/>
    </row>
    <row r="357" spans="13:13" ht="14.25" customHeight="1">
      <c r="M357" s="109"/>
    </row>
    <row r="358" spans="13:13" ht="14.25" customHeight="1">
      <c r="M358" s="109"/>
    </row>
    <row r="359" spans="13:13" ht="14.25" customHeight="1">
      <c r="M359" s="109"/>
    </row>
    <row r="360" spans="13:13" ht="14.25" customHeight="1">
      <c r="M360" s="109"/>
    </row>
    <row r="361" spans="13:13" ht="14.25" customHeight="1">
      <c r="M361" s="109"/>
    </row>
    <row r="362" spans="13:13" ht="14.25" customHeight="1">
      <c r="M362" s="109"/>
    </row>
    <row r="363" spans="13:13" ht="14.25" customHeight="1">
      <c r="M363" s="109"/>
    </row>
    <row r="364" spans="13:13" ht="14.25" customHeight="1">
      <c r="M364" s="109"/>
    </row>
    <row r="365" spans="13:13" ht="14.25" customHeight="1">
      <c r="M365" s="109"/>
    </row>
    <row r="366" spans="13:13" ht="14.25" customHeight="1">
      <c r="M366" s="109"/>
    </row>
    <row r="367" spans="13:13" ht="14.25" customHeight="1">
      <c r="M367" s="109"/>
    </row>
    <row r="368" spans="13:13" ht="14.25" customHeight="1">
      <c r="M368" s="109"/>
    </row>
    <row r="369" spans="13:13" ht="14.25" customHeight="1">
      <c r="M369" s="109"/>
    </row>
    <row r="370" spans="13:13" ht="14.25" customHeight="1">
      <c r="M370" s="109"/>
    </row>
    <row r="371" spans="13:13" ht="14.25" customHeight="1">
      <c r="M371" s="109"/>
    </row>
    <row r="372" spans="13:13" ht="14.25" customHeight="1">
      <c r="M372" s="109"/>
    </row>
    <row r="373" spans="13:13" ht="14.25" customHeight="1">
      <c r="M373" s="109"/>
    </row>
    <row r="374" spans="13:13" ht="14.25" customHeight="1">
      <c r="M374" s="109"/>
    </row>
    <row r="375" spans="13:13" ht="14.25" customHeight="1">
      <c r="M375" s="109"/>
    </row>
    <row r="376" spans="13:13" ht="14.25" customHeight="1">
      <c r="M376" s="109"/>
    </row>
    <row r="377" spans="13:13" ht="14.25" customHeight="1">
      <c r="M377" s="109"/>
    </row>
    <row r="378" spans="13:13" ht="14.25" customHeight="1">
      <c r="M378" s="109"/>
    </row>
    <row r="379" spans="13:13" ht="14.25" customHeight="1">
      <c r="M379" s="109"/>
    </row>
    <row r="380" spans="13:13" ht="14.25" customHeight="1">
      <c r="M380" s="109"/>
    </row>
    <row r="381" spans="13:13" ht="14.25" customHeight="1">
      <c r="M381" s="109"/>
    </row>
    <row r="382" spans="13:13" ht="14.25" customHeight="1">
      <c r="M382" s="109"/>
    </row>
    <row r="383" spans="13:13" ht="14.25" customHeight="1">
      <c r="M383" s="109"/>
    </row>
    <row r="384" spans="13:13" ht="14.25" customHeight="1">
      <c r="M384" s="109"/>
    </row>
    <row r="385" spans="13:13" ht="14.25" customHeight="1">
      <c r="M385" s="109"/>
    </row>
    <row r="386" spans="13:13" ht="14.25" customHeight="1">
      <c r="M386" s="109"/>
    </row>
    <row r="387" spans="13:13" ht="14.25" customHeight="1">
      <c r="M387" s="109"/>
    </row>
    <row r="388" spans="13:13" ht="14.25" customHeight="1">
      <c r="M388" s="109"/>
    </row>
    <row r="389" spans="13:13" ht="14.25" customHeight="1">
      <c r="M389" s="109"/>
    </row>
    <row r="390" spans="13:13" ht="14.25" customHeight="1">
      <c r="M390" s="109"/>
    </row>
    <row r="391" spans="13:13" ht="14.25" customHeight="1">
      <c r="M391" s="109"/>
    </row>
    <row r="392" spans="13:13" ht="14.25" customHeight="1">
      <c r="M392" s="109"/>
    </row>
    <row r="393" spans="13:13" ht="14.25" customHeight="1">
      <c r="M393" s="109"/>
    </row>
    <row r="394" spans="13:13" ht="14.25" customHeight="1">
      <c r="M394" s="109"/>
    </row>
    <row r="395" spans="13:13" ht="14.25" customHeight="1">
      <c r="M395" s="109"/>
    </row>
    <row r="396" spans="13:13" ht="14.25" customHeight="1">
      <c r="M396" s="109"/>
    </row>
    <row r="397" spans="13:13" ht="14.25" customHeight="1">
      <c r="M397" s="109"/>
    </row>
    <row r="398" spans="13:13" ht="14.25" customHeight="1">
      <c r="M398" s="109"/>
    </row>
    <row r="399" spans="13:13" ht="14.25" customHeight="1">
      <c r="M399" s="109"/>
    </row>
    <row r="400" spans="13:13" ht="14.25" customHeight="1">
      <c r="M400" s="109"/>
    </row>
    <row r="401" spans="13:13" ht="14.25" customHeight="1">
      <c r="M401" s="109"/>
    </row>
    <row r="402" spans="13:13" ht="14.25" customHeight="1">
      <c r="M402" s="109"/>
    </row>
    <row r="403" spans="13:13" ht="14.25" customHeight="1">
      <c r="M403" s="109"/>
    </row>
    <row r="404" spans="13:13" ht="14.25" customHeight="1">
      <c r="M404" s="109"/>
    </row>
    <row r="405" spans="13:13" ht="14.25" customHeight="1">
      <c r="M405" s="109"/>
    </row>
    <row r="406" spans="13:13" ht="14.25" customHeight="1">
      <c r="M406" s="109"/>
    </row>
    <row r="407" spans="13:13" ht="14.25" customHeight="1">
      <c r="M407" s="109"/>
    </row>
    <row r="408" spans="13:13" ht="14.25" customHeight="1">
      <c r="M408" s="109"/>
    </row>
    <row r="409" spans="13:13" ht="14.25" customHeight="1">
      <c r="M409" s="109"/>
    </row>
    <row r="410" spans="13:13" ht="14.25" customHeight="1">
      <c r="M410" s="109"/>
    </row>
    <row r="411" spans="13:13" ht="14.25" customHeight="1">
      <c r="M411" s="109"/>
    </row>
    <row r="412" spans="13:13" ht="14.25" customHeight="1">
      <c r="M412" s="109"/>
    </row>
    <row r="413" spans="13:13" ht="14.25" customHeight="1">
      <c r="M413" s="109"/>
    </row>
    <row r="414" spans="13:13" ht="14.25" customHeight="1">
      <c r="M414" s="109"/>
    </row>
    <row r="415" spans="13:13" ht="14.25" customHeight="1">
      <c r="M415" s="109"/>
    </row>
    <row r="416" spans="13:13" ht="14.25" customHeight="1">
      <c r="M416" s="109"/>
    </row>
    <row r="417" spans="13:13" ht="14.25" customHeight="1">
      <c r="M417" s="109"/>
    </row>
    <row r="418" spans="13:13" ht="14.25" customHeight="1">
      <c r="M418" s="109"/>
    </row>
    <row r="419" spans="13:13" ht="14.25" customHeight="1">
      <c r="M419" s="109"/>
    </row>
    <row r="420" spans="13:13" ht="14.25" customHeight="1">
      <c r="M420" s="109"/>
    </row>
    <row r="421" spans="13:13" ht="14.25" customHeight="1">
      <c r="M421" s="109"/>
    </row>
    <row r="422" spans="13:13" ht="14.25" customHeight="1">
      <c r="M422" s="109"/>
    </row>
    <row r="423" spans="13:13" ht="14.25" customHeight="1">
      <c r="M423" s="109"/>
    </row>
    <row r="424" spans="13:13" ht="14.25" customHeight="1">
      <c r="M424" s="109"/>
    </row>
    <row r="425" spans="13:13" ht="14.25" customHeight="1">
      <c r="M425" s="109"/>
    </row>
    <row r="426" spans="13:13" ht="14.25" customHeight="1">
      <c r="M426" s="109"/>
    </row>
    <row r="427" spans="13:13" ht="14.25" customHeight="1">
      <c r="M427" s="109"/>
    </row>
    <row r="428" spans="13:13" ht="14.25" customHeight="1">
      <c r="M428" s="109"/>
    </row>
    <row r="429" spans="13:13" ht="14.25" customHeight="1">
      <c r="M429" s="109"/>
    </row>
    <row r="430" spans="13:13" ht="14.25" customHeight="1">
      <c r="M430" s="109"/>
    </row>
    <row r="431" spans="13:13" ht="14.25" customHeight="1">
      <c r="M431" s="109"/>
    </row>
    <row r="432" spans="13:13" ht="14.25" customHeight="1">
      <c r="M432" s="109"/>
    </row>
    <row r="433" spans="13:13" ht="14.25" customHeight="1">
      <c r="M433" s="109"/>
    </row>
    <row r="434" spans="13:13" ht="14.25" customHeight="1">
      <c r="M434" s="109"/>
    </row>
    <row r="435" spans="13:13" ht="14.25" customHeight="1">
      <c r="M435" s="109"/>
    </row>
    <row r="436" spans="13:13" ht="14.25" customHeight="1">
      <c r="M436" s="109"/>
    </row>
    <row r="437" spans="13:13" ht="14.25" customHeight="1">
      <c r="M437" s="109"/>
    </row>
    <row r="438" spans="13:13" ht="14.25" customHeight="1">
      <c r="M438" s="109"/>
    </row>
    <row r="439" spans="13:13" ht="14.25" customHeight="1">
      <c r="M439" s="109"/>
    </row>
    <row r="440" spans="13:13" ht="14.25" customHeight="1">
      <c r="M440" s="109"/>
    </row>
    <row r="441" spans="13:13" ht="14.25" customHeight="1">
      <c r="M441" s="109"/>
    </row>
    <row r="442" spans="13:13" ht="14.25" customHeight="1">
      <c r="M442" s="109"/>
    </row>
    <row r="443" spans="13:13" ht="14.25" customHeight="1">
      <c r="M443" s="109"/>
    </row>
    <row r="444" spans="13:13" ht="14.25" customHeight="1">
      <c r="M444" s="109"/>
    </row>
    <row r="445" spans="13:13" ht="14.25" customHeight="1">
      <c r="M445" s="109"/>
    </row>
    <row r="446" spans="13:13" ht="14.25" customHeight="1">
      <c r="M446" s="109"/>
    </row>
    <row r="447" spans="13:13" ht="14.25" customHeight="1">
      <c r="M447" s="109"/>
    </row>
    <row r="448" spans="13:13" ht="14.25" customHeight="1">
      <c r="M448" s="109"/>
    </row>
    <row r="449" spans="13:13" ht="14.25" customHeight="1">
      <c r="M449" s="109"/>
    </row>
    <row r="450" spans="13:13" ht="14.25" customHeight="1">
      <c r="M450" s="109"/>
    </row>
    <row r="451" spans="13:13" ht="14.25" customHeight="1">
      <c r="M451" s="109"/>
    </row>
    <row r="452" spans="13:13" ht="14.25" customHeight="1">
      <c r="M452" s="109"/>
    </row>
    <row r="453" spans="13:13" ht="14.25" customHeight="1">
      <c r="M453" s="109"/>
    </row>
    <row r="454" spans="13:13" ht="14.25" customHeight="1">
      <c r="M454" s="109"/>
    </row>
    <row r="455" spans="13:13" ht="14.25" customHeight="1">
      <c r="M455" s="109"/>
    </row>
    <row r="456" spans="13:13" ht="14.25" customHeight="1">
      <c r="M456" s="109"/>
    </row>
    <row r="457" spans="13:13" ht="14.25" customHeight="1">
      <c r="M457" s="109"/>
    </row>
    <row r="458" spans="13:13" ht="14.25" customHeight="1">
      <c r="M458" s="109"/>
    </row>
    <row r="459" spans="13:13" ht="14.25" customHeight="1">
      <c r="M459" s="109"/>
    </row>
    <row r="460" spans="13:13" ht="14.25" customHeight="1">
      <c r="M460" s="109"/>
    </row>
    <row r="461" spans="13:13" ht="14.25" customHeight="1">
      <c r="M461" s="109"/>
    </row>
    <row r="462" spans="13:13" ht="14.25" customHeight="1">
      <c r="M462" s="109"/>
    </row>
    <row r="463" spans="13:13" ht="14.25" customHeight="1">
      <c r="M463" s="109"/>
    </row>
    <row r="464" spans="13:13" ht="14.25" customHeight="1">
      <c r="M464" s="109"/>
    </row>
    <row r="465" spans="13:13" ht="14.25" customHeight="1">
      <c r="M465" s="109"/>
    </row>
    <row r="466" spans="13:13" ht="14.25" customHeight="1">
      <c r="M466" s="109"/>
    </row>
    <row r="467" spans="13:13" ht="14.25" customHeight="1">
      <c r="M467" s="109"/>
    </row>
    <row r="468" spans="13:13" ht="14.25" customHeight="1">
      <c r="M468" s="109"/>
    </row>
    <row r="469" spans="13:13" ht="14.25" customHeight="1">
      <c r="M469" s="109"/>
    </row>
    <row r="470" spans="13:13" ht="14.25" customHeight="1">
      <c r="M470" s="109"/>
    </row>
    <row r="471" spans="13:13" ht="14.25" customHeight="1">
      <c r="M471" s="109"/>
    </row>
    <row r="472" spans="13:13" ht="14.25" customHeight="1">
      <c r="M472" s="109"/>
    </row>
    <row r="473" spans="13:13" ht="14.25" customHeight="1">
      <c r="M473" s="109"/>
    </row>
    <row r="474" spans="13:13" ht="14.25" customHeight="1">
      <c r="M474" s="109"/>
    </row>
    <row r="475" spans="13:13" ht="14.25" customHeight="1">
      <c r="M475" s="109"/>
    </row>
    <row r="476" spans="13:13" ht="14.25" customHeight="1">
      <c r="M476" s="109"/>
    </row>
    <row r="477" spans="13:13" ht="14.25" customHeight="1">
      <c r="M477" s="109"/>
    </row>
    <row r="478" spans="13:13" ht="14.25" customHeight="1">
      <c r="M478" s="109"/>
    </row>
    <row r="479" spans="13:13" ht="14.25" customHeight="1">
      <c r="M479" s="109"/>
    </row>
    <row r="480" spans="13:13" ht="14.25" customHeight="1">
      <c r="M480" s="109"/>
    </row>
    <row r="481" spans="13:13" ht="14.25" customHeight="1">
      <c r="M481" s="109"/>
    </row>
    <row r="482" spans="13:13" ht="14.25" customHeight="1">
      <c r="M482" s="109"/>
    </row>
    <row r="483" spans="13:13" ht="14.25" customHeight="1">
      <c r="M483" s="109"/>
    </row>
    <row r="484" spans="13:13" ht="14.25" customHeight="1">
      <c r="M484" s="109"/>
    </row>
    <row r="485" spans="13:13" ht="14.25" customHeight="1">
      <c r="M485" s="109"/>
    </row>
    <row r="486" spans="13:13" ht="14.25" customHeight="1">
      <c r="M486" s="109"/>
    </row>
    <row r="487" spans="13:13" ht="14.25" customHeight="1">
      <c r="M487" s="109"/>
    </row>
    <row r="488" spans="13:13" ht="14.25" customHeight="1">
      <c r="M488" s="109"/>
    </row>
    <row r="489" spans="13:13" ht="14.25" customHeight="1">
      <c r="M489" s="109"/>
    </row>
    <row r="490" spans="13:13" ht="14.25" customHeight="1">
      <c r="M490" s="109"/>
    </row>
    <row r="491" spans="13:13" ht="14.25" customHeight="1">
      <c r="M491" s="109"/>
    </row>
    <row r="492" spans="13:13" ht="14.25" customHeight="1">
      <c r="M492" s="109"/>
    </row>
    <row r="493" spans="13:13" ht="14.25" customHeight="1">
      <c r="M493" s="109"/>
    </row>
    <row r="494" spans="13:13" ht="14.25" customHeight="1">
      <c r="M494" s="109"/>
    </row>
    <row r="495" spans="13:13" ht="14.25" customHeight="1">
      <c r="M495" s="109"/>
    </row>
    <row r="496" spans="13:13" ht="14.25" customHeight="1">
      <c r="M496" s="109"/>
    </row>
    <row r="497" spans="13:13" ht="14.25" customHeight="1">
      <c r="M497" s="109"/>
    </row>
    <row r="498" spans="13:13" ht="14.25" customHeight="1">
      <c r="M498" s="109"/>
    </row>
    <row r="499" spans="13:13" ht="14.25" customHeight="1">
      <c r="M499" s="109"/>
    </row>
    <row r="500" spans="13:13" ht="14.25" customHeight="1">
      <c r="M500" s="109"/>
    </row>
    <row r="501" spans="13:13" ht="14.25" customHeight="1">
      <c r="M501" s="109"/>
    </row>
    <row r="502" spans="13:13" ht="14.25" customHeight="1">
      <c r="M502" s="109"/>
    </row>
    <row r="503" spans="13:13" ht="14.25" customHeight="1">
      <c r="M503" s="109"/>
    </row>
    <row r="504" spans="13:13" ht="14.25" customHeight="1">
      <c r="M504" s="109"/>
    </row>
    <row r="505" spans="13:13" ht="14.25" customHeight="1">
      <c r="M505" s="109"/>
    </row>
    <row r="506" spans="13:13" ht="14.25" customHeight="1">
      <c r="M506" s="109"/>
    </row>
    <row r="507" spans="13:13" ht="14.25" customHeight="1">
      <c r="M507" s="109"/>
    </row>
    <row r="508" spans="13:13" ht="14.25" customHeight="1">
      <c r="M508" s="109"/>
    </row>
    <row r="509" spans="13:13" ht="14.25" customHeight="1">
      <c r="M509" s="109"/>
    </row>
    <row r="510" spans="13:13" ht="14.25" customHeight="1">
      <c r="M510" s="109"/>
    </row>
    <row r="511" spans="13:13" ht="14.25" customHeight="1">
      <c r="M511" s="109"/>
    </row>
    <row r="512" spans="13:13" ht="14.25" customHeight="1">
      <c r="M512" s="109"/>
    </row>
    <row r="513" spans="13:13" ht="14.25" customHeight="1">
      <c r="M513" s="109"/>
    </row>
    <row r="514" spans="13:13" ht="14.25" customHeight="1">
      <c r="M514" s="109"/>
    </row>
    <row r="515" spans="13:13" ht="14.25" customHeight="1">
      <c r="M515" s="109"/>
    </row>
    <row r="516" spans="13:13" ht="14.25" customHeight="1">
      <c r="M516" s="109"/>
    </row>
    <row r="517" spans="13:13" ht="14.25" customHeight="1">
      <c r="M517" s="109"/>
    </row>
    <row r="518" spans="13:13" ht="14.25" customHeight="1">
      <c r="M518" s="109"/>
    </row>
    <row r="519" spans="13:13" ht="14.25" customHeight="1">
      <c r="M519" s="109"/>
    </row>
    <row r="520" spans="13:13" ht="14.25" customHeight="1">
      <c r="M520" s="109"/>
    </row>
    <row r="521" spans="13:13" ht="14.25" customHeight="1">
      <c r="M521" s="109"/>
    </row>
    <row r="522" spans="13:13" ht="14.25" customHeight="1">
      <c r="M522" s="109"/>
    </row>
    <row r="523" spans="13:13" ht="14.25" customHeight="1">
      <c r="M523" s="109"/>
    </row>
    <row r="524" spans="13:13" ht="14.25" customHeight="1">
      <c r="M524" s="109"/>
    </row>
    <row r="525" spans="13:13" ht="14.25" customHeight="1">
      <c r="M525" s="109"/>
    </row>
    <row r="526" spans="13:13" ht="14.25" customHeight="1">
      <c r="M526" s="109"/>
    </row>
    <row r="527" spans="13:13" ht="14.25" customHeight="1">
      <c r="M527" s="109"/>
    </row>
    <row r="528" spans="13:13" ht="14.25" customHeight="1">
      <c r="M528" s="109"/>
    </row>
    <row r="529" spans="13:13" ht="14.25" customHeight="1">
      <c r="M529" s="109"/>
    </row>
    <row r="530" spans="13:13" ht="14.25" customHeight="1">
      <c r="M530" s="109"/>
    </row>
    <row r="531" spans="13:13" ht="14.25" customHeight="1">
      <c r="M531" s="109"/>
    </row>
    <row r="532" spans="13:13" ht="14.25" customHeight="1">
      <c r="M532" s="109"/>
    </row>
    <row r="533" spans="13:13" ht="14.25" customHeight="1">
      <c r="M533" s="109"/>
    </row>
    <row r="534" spans="13:13" ht="14.25" customHeight="1">
      <c r="M534" s="109"/>
    </row>
    <row r="535" spans="13:13" ht="14.25" customHeight="1">
      <c r="M535" s="109"/>
    </row>
    <row r="536" spans="13:13" ht="14.25" customHeight="1">
      <c r="M536" s="109"/>
    </row>
    <row r="537" spans="13:13" ht="14.25" customHeight="1">
      <c r="M537" s="109"/>
    </row>
    <row r="538" spans="13:13" ht="14.25" customHeight="1">
      <c r="M538" s="109"/>
    </row>
    <row r="539" spans="13:13" ht="14.25" customHeight="1">
      <c r="M539" s="109"/>
    </row>
    <row r="540" spans="13:13" ht="14.25" customHeight="1">
      <c r="M540" s="109"/>
    </row>
    <row r="541" spans="13:13" ht="14.25" customHeight="1">
      <c r="M541" s="109"/>
    </row>
    <row r="542" spans="13:13" ht="14.25" customHeight="1">
      <c r="M542" s="109"/>
    </row>
    <row r="543" spans="13:13" ht="14.25" customHeight="1">
      <c r="M543" s="109"/>
    </row>
    <row r="544" spans="13:13" ht="14.25" customHeight="1">
      <c r="M544" s="109"/>
    </row>
    <row r="545" spans="13:13" ht="14.25" customHeight="1">
      <c r="M545" s="109"/>
    </row>
    <row r="546" spans="13:13" ht="14.25" customHeight="1">
      <c r="M546" s="109"/>
    </row>
    <row r="547" spans="13:13" ht="14.25" customHeight="1">
      <c r="M547" s="109"/>
    </row>
    <row r="548" spans="13:13" ht="14.25" customHeight="1">
      <c r="M548" s="109"/>
    </row>
    <row r="549" spans="13:13" ht="14.25" customHeight="1">
      <c r="M549" s="109"/>
    </row>
    <row r="550" spans="13:13" ht="14.25" customHeight="1">
      <c r="M550" s="109"/>
    </row>
    <row r="551" spans="13:13" ht="14.25" customHeight="1">
      <c r="M551" s="109"/>
    </row>
    <row r="552" spans="13:13" ht="14.25" customHeight="1">
      <c r="M552" s="109"/>
    </row>
    <row r="553" spans="13:13" ht="14.25" customHeight="1">
      <c r="M553" s="109"/>
    </row>
    <row r="554" spans="13:13" ht="14.25" customHeight="1">
      <c r="M554" s="109"/>
    </row>
    <row r="555" spans="13:13" ht="14.25" customHeight="1">
      <c r="M555" s="109"/>
    </row>
    <row r="556" spans="13:13" ht="14.25" customHeight="1">
      <c r="M556" s="109"/>
    </row>
    <row r="557" spans="13:13" ht="14.25" customHeight="1">
      <c r="M557" s="109"/>
    </row>
    <row r="558" spans="13:13" ht="14.25" customHeight="1">
      <c r="M558" s="109"/>
    </row>
    <row r="559" spans="13:13" ht="14.25" customHeight="1">
      <c r="M559" s="109"/>
    </row>
    <row r="560" spans="13:13" ht="14.25" customHeight="1">
      <c r="M560" s="109"/>
    </row>
    <row r="561" spans="13:13" ht="14.25" customHeight="1">
      <c r="M561" s="109"/>
    </row>
    <row r="562" spans="13:13" ht="14.25" customHeight="1">
      <c r="M562" s="109"/>
    </row>
    <row r="563" spans="13:13" ht="14.25" customHeight="1">
      <c r="M563" s="109"/>
    </row>
    <row r="564" spans="13:13" ht="14.25" customHeight="1">
      <c r="M564" s="109"/>
    </row>
    <row r="565" spans="13:13" ht="14.25" customHeight="1">
      <c r="M565" s="109"/>
    </row>
    <row r="566" spans="13:13" ht="14.25" customHeight="1">
      <c r="M566" s="109"/>
    </row>
    <row r="567" spans="13:13" ht="14.25" customHeight="1">
      <c r="M567" s="109"/>
    </row>
    <row r="568" spans="13:13" ht="14.25" customHeight="1">
      <c r="M568" s="109"/>
    </row>
    <row r="569" spans="13:13" ht="14.25" customHeight="1">
      <c r="M569" s="109"/>
    </row>
    <row r="570" spans="13:13" ht="14.25" customHeight="1">
      <c r="M570" s="109"/>
    </row>
    <row r="571" spans="13:13" ht="14.25" customHeight="1">
      <c r="M571" s="109"/>
    </row>
    <row r="572" spans="13:13" ht="14.25" customHeight="1">
      <c r="M572" s="109"/>
    </row>
    <row r="573" spans="13:13" ht="14.25" customHeight="1">
      <c r="M573" s="109"/>
    </row>
    <row r="574" spans="13:13" ht="14.25" customHeight="1">
      <c r="M574" s="109"/>
    </row>
    <row r="575" spans="13:13" ht="14.25" customHeight="1">
      <c r="M575" s="109"/>
    </row>
    <row r="576" spans="13:13" ht="14.25" customHeight="1">
      <c r="M576" s="109"/>
    </row>
    <row r="577" spans="13:13" ht="14.25" customHeight="1">
      <c r="M577" s="109"/>
    </row>
    <row r="578" spans="13:13" ht="14.25" customHeight="1">
      <c r="M578" s="109"/>
    </row>
    <row r="579" spans="13:13" ht="14.25" customHeight="1">
      <c r="M579" s="109"/>
    </row>
    <row r="580" spans="13:13" ht="14.25" customHeight="1">
      <c r="M580" s="109"/>
    </row>
    <row r="581" spans="13:13" ht="14.25" customHeight="1">
      <c r="M581" s="109"/>
    </row>
    <row r="582" spans="13:13" ht="14.25" customHeight="1">
      <c r="M582" s="109"/>
    </row>
    <row r="583" spans="13:13" ht="14.25" customHeight="1">
      <c r="M583" s="109"/>
    </row>
    <row r="584" spans="13:13" ht="14.25" customHeight="1">
      <c r="M584" s="109"/>
    </row>
    <row r="585" spans="13:13" ht="14.25" customHeight="1">
      <c r="M585" s="109"/>
    </row>
    <row r="586" spans="13:13" ht="14.25" customHeight="1">
      <c r="M586" s="109"/>
    </row>
    <row r="587" spans="13:13" ht="14.25" customHeight="1">
      <c r="M587" s="109"/>
    </row>
    <row r="588" spans="13:13" ht="14.25" customHeight="1">
      <c r="M588" s="109"/>
    </row>
    <row r="589" spans="13:13" ht="14.25" customHeight="1">
      <c r="M589" s="109"/>
    </row>
    <row r="590" spans="13:13" ht="14.25" customHeight="1">
      <c r="M590" s="109"/>
    </row>
    <row r="591" spans="13:13" ht="14.25" customHeight="1">
      <c r="M591" s="109"/>
    </row>
    <row r="592" spans="13:13" ht="14.25" customHeight="1">
      <c r="M592" s="109"/>
    </row>
    <row r="593" spans="13:13" ht="14.25" customHeight="1">
      <c r="M593" s="109"/>
    </row>
    <row r="594" spans="13:13" ht="14.25" customHeight="1">
      <c r="M594" s="109"/>
    </row>
    <row r="595" spans="13:13" ht="14.25" customHeight="1">
      <c r="M595" s="109"/>
    </row>
    <row r="596" spans="13:13" ht="14.25" customHeight="1">
      <c r="M596" s="109"/>
    </row>
    <row r="597" spans="13:13" ht="14.25" customHeight="1">
      <c r="M597" s="109"/>
    </row>
    <row r="598" spans="13:13" ht="14.25" customHeight="1">
      <c r="M598" s="109"/>
    </row>
    <row r="599" spans="13:13" ht="14.25" customHeight="1">
      <c r="M599" s="109"/>
    </row>
    <row r="600" spans="13:13" ht="14.25" customHeight="1">
      <c r="M600" s="109"/>
    </row>
    <row r="601" spans="13:13" ht="14.25" customHeight="1">
      <c r="M601" s="109"/>
    </row>
    <row r="602" spans="13:13" ht="14.25" customHeight="1">
      <c r="M602" s="109"/>
    </row>
    <row r="603" spans="13:13" ht="14.25" customHeight="1">
      <c r="M603" s="109"/>
    </row>
    <row r="604" spans="13:13" ht="14.25" customHeight="1">
      <c r="M604" s="109"/>
    </row>
    <row r="605" spans="13:13" ht="14.25" customHeight="1">
      <c r="M605" s="109"/>
    </row>
    <row r="606" spans="13:13" ht="14.25" customHeight="1">
      <c r="M606" s="109"/>
    </row>
    <row r="607" spans="13:13" ht="14.25" customHeight="1">
      <c r="M607" s="109"/>
    </row>
    <row r="608" spans="13:13" ht="14.25" customHeight="1">
      <c r="M608" s="109"/>
    </row>
    <row r="609" spans="13:13" ht="14.25" customHeight="1">
      <c r="M609" s="109"/>
    </row>
    <row r="610" spans="13:13" ht="14.25" customHeight="1">
      <c r="M610" s="109"/>
    </row>
    <row r="611" spans="13:13" ht="14.25" customHeight="1">
      <c r="M611" s="109"/>
    </row>
    <row r="612" spans="13:13" ht="14.25" customHeight="1">
      <c r="M612" s="109"/>
    </row>
    <row r="613" spans="13:13" ht="14.25" customHeight="1">
      <c r="M613" s="109"/>
    </row>
    <row r="614" spans="13:13" ht="14.25" customHeight="1">
      <c r="M614" s="109"/>
    </row>
    <row r="615" spans="13:13" ht="14.25" customHeight="1">
      <c r="M615" s="109"/>
    </row>
    <row r="616" spans="13:13" ht="14.25" customHeight="1">
      <c r="M616" s="109"/>
    </row>
    <row r="617" spans="13:13" ht="14.25" customHeight="1">
      <c r="M617" s="109"/>
    </row>
    <row r="618" spans="13:13" ht="14.25" customHeight="1">
      <c r="M618" s="109"/>
    </row>
    <row r="619" spans="13:13" ht="14.25" customHeight="1">
      <c r="M619" s="109"/>
    </row>
    <row r="620" spans="13:13" ht="14.25" customHeight="1">
      <c r="M620" s="109"/>
    </row>
    <row r="621" spans="13:13" ht="14.25" customHeight="1">
      <c r="M621" s="109"/>
    </row>
    <row r="622" spans="13:13" ht="14.25" customHeight="1">
      <c r="M622" s="109"/>
    </row>
    <row r="623" spans="13:13" ht="14.25" customHeight="1">
      <c r="M623" s="109"/>
    </row>
    <row r="624" spans="13:13" ht="14.25" customHeight="1">
      <c r="M624" s="109"/>
    </row>
    <row r="625" spans="13:13" ht="14.25" customHeight="1">
      <c r="M625" s="109"/>
    </row>
    <row r="626" spans="13:13" ht="14.25" customHeight="1">
      <c r="M626" s="109"/>
    </row>
    <row r="627" spans="13:13" ht="14.25" customHeight="1">
      <c r="M627" s="109"/>
    </row>
    <row r="628" spans="13:13" ht="14.25" customHeight="1">
      <c r="M628" s="109"/>
    </row>
    <row r="629" spans="13:13" ht="14.25" customHeight="1">
      <c r="M629" s="109"/>
    </row>
    <row r="630" spans="13:13" ht="14.25" customHeight="1">
      <c r="M630" s="109"/>
    </row>
    <row r="631" spans="13:13" ht="14.25" customHeight="1">
      <c r="M631" s="109"/>
    </row>
    <row r="632" spans="13:13" ht="14.25" customHeight="1">
      <c r="M632" s="109"/>
    </row>
    <row r="633" spans="13:13" ht="14.25" customHeight="1">
      <c r="M633" s="109"/>
    </row>
    <row r="634" spans="13:13" ht="14.25" customHeight="1">
      <c r="M634" s="109"/>
    </row>
    <row r="635" spans="13:13" ht="14.25" customHeight="1">
      <c r="M635" s="109"/>
    </row>
    <row r="636" spans="13:13" ht="14.25" customHeight="1">
      <c r="M636" s="109"/>
    </row>
    <row r="637" spans="13:13" ht="14.25" customHeight="1">
      <c r="M637" s="109"/>
    </row>
    <row r="638" spans="13:13" ht="14.25" customHeight="1">
      <c r="M638" s="109"/>
    </row>
    <row r="639" spans="13:13" ht="14.25" customHeight="1">
      <c r="M639" s="109"/>
    </row>
    <row r="640" spans="13:13" ht="14.25" customHeight="1">
      <c r="M640" s="109"/>
    </row>
    <row r="641" spans="13:13" ht="14.25" customHeight="1">
      <c r="M641" s="109"/>
    </row>
    <row r="642" spans="13:13" ht="14.25" customHeight="1">
      <c r="M642" s="109"/>
    </row>
    <row r="643" spans="13:13" ht="14.25" customHeight="1">
      <c r="M643" s="109"/>
    </row>
    <row r="644" spans="13:13" ht="14.25" customHeight="1">
      <c r="M644" s="109"/>
    </row>
    <row r="645" spans="13:13" ht="14.25" customHeight="1">
      <c r="M645" s="109"/>
    </row>
    <row r="646" spans="13:13" ht="14.25" customHeight="1">
      <c r="M646" s="109"/>
    </row>
    <row r="647" spans="13:13" ht="14.25" customHeight="1">
      <c r="M647" s="109"/>
    </row>
    <row r="648" spans="13:13" ht="14.25" customHeight="1">
      <c r="M648" s="109"/>
    </row>
    <row r="649" spans="13:13" ht="14.25" customHeight="1">
      <c r="M649" s="109"/>
    </row>
    <row r="650" spans="13:13" ht="14.25" customHeight="1">
      <c r="M650" s="109"/>
    </row>
    <row r="651" spans="13:13" ht="14.25" customHeight="1">
      <c r="M651" s="109"/>
    </row>
    <row r="652" spans="13:13" ht="14.25" customHeight="1">
      <c r="M652" s="109"/>
    </row>
    <row r="653" spans="13:13" ht="14.25" customHeight="1">
      <c r="M653" s="109"/>
    </row>
    <row r="654" spans="13:13" ht="14.25" customHeight="1">
      <c r="M654" s="109"/>
    </row>
    <row r="655" spans="13:13" ht="14.25" customHeight="1">
      <c r="M655" s="109"/>
    </row>
    <row r="656" spans="13:13" ht="14.25" customHeight="1">
      <c r="M656" s="109"/>
    </row>
    <row r="657" spans="13:13" ht="14.25" customHeight="1">
      <c r="M657" s="109"/>
    </row>
    <row r="658" spans="13:13" ht="14.25" customHeight="1">
      <c r="M658" s="109"/>
    </row>
    <row r="659" spans="13:13" ht="14.25" customHeight="1">
      <c r="M659" s="109"/>
    </row>
    <row r="660" spans="13:13" ht="14.25" customHeight="1">
      <c r="M660" s="109"/>
    </row>
    <row r="661" spans="13:13" ht="14.25" customHeight="1">
      <c r="M661" s="109"/>
    </row>
    <row r="662" spans="13:13" ht="14.25" customHeight="1">
      <c r="M662" s="109"/>
    </row>
    <row r="663" spans="13:13" ht="14.25" customHeight="1">
      <c r="M663" s="109"/>
    </row>
    <row r="664" spans="13:13" ht="14.25" customHeight="1">
      <c r="M664" s="109"/>
    </row>
    <row r="665" spans="13:13" ht="14.25" customHeight="1">
      <c r="M665" s="109"/>
    </row>
    <row r="666" spans="13:13" ht="14.25" customHeight="1">
      <c r="M666" s="109"/>
    </row>
    <row r="667" spans="13:13" ht="14.25" customHeight="1">
      <c r="M667" s="109"/>
    </row>
    <row r="668" spans="13:13" ht="14.25" customHeight="1">
      <c r="M668" s="109"/>
    </row>
    <row r="669" spans="13:13" ht="14.25" customHeight="1">
      <c r="M669" s="109"/>
    </row>
    <row r="670" spans="13:13" ht="14.25" customHeight="1">
      <c r="M670" s="109"/>
    </row>
    <row r="671" spans="13:13" ht="14.25" customHeight="1">
      <c r="M671" s="109"/>
    </row>
    <row r="672" spans="13:13" ht="14.25" customHeight="1">
      <c r="M672" s="109"/>
    </row>
    <row r="673" spans="13:13" ht="14.25" customHeight="1">
      <c r="M673" s="109"/>
    </row>
    <row r="674" spans="13:13" ht="14.25" customHeight="1">
      <c r="M674" s="109"/>
    </row>
    <row r="675" spans="13:13" ht="14.25" customHeight="1">
      <c r="M675" s="109"/>
    </row>
    <row r="676" spans="13:13" ht="14.25" customHeight="1">
      <c r="M676" s="109"/>
    </row>
    <row r="677" spans="13:13" ht="14.25" customHeight="1">
      <c r="M677" s="109"/>
    </row>
    <row r="678" spans="13:13" ht="14.25" customHeight="1">
      <c r="M678" s="109"/>
    </row>
    <row r="679" spans="13:13" ht="14.25" customHeight="1">
      <c r="M679" s="109"/>
    </row>
    <row r="680" spans="13:13" ht="14.25" customHeight="1">
      <c r="M680" s="109"/>
    </row>
    <row r="681" spans="13:13" ht="14.25" customHeight="1">
      <c r="M681" s="109"/>
    </row>
    <row r="682" spans="13:13" ht="14.25" customHeight="1">
      <c r="M682" s="109"/>
    </row>
    <row r="683" spans="13:13" ht="14.25" customHeight="1">
      <c r="M683" s="109"/>
    </row>
    <row r="684" spans="13:13" ht="14.25" customHeight="1">
      <c r="M684" s="109"/>
    </row>
    <row r="685" spans="13:13" ht="14.25" customHeight="1">
      <c r="M685" s="109"/>
    </row>
    <row r="686" spans="13:13" ht="14.25" customHeight="1">
      <c r="M686" s="109"/>
    </row>
    <row r="687" spans="13:13" ht="14.25" customHeight="1">
      <c r="M687" s="109"/>
    </row>
    <row r="688" spans="13:13" ht="14.25" customHeight="1">
      <c r="M688" s="109"/>
    </row>
    <row r="689" spans="13:13" ht="14.25" customHeight="1">
      <c r="M689" s="109"/>
    </row>
    <row r="690" spans="13:13" ht="14.25" customHeight="1">
      <c r="M690" s="109"/>
    </row>
    <row r="691" spans="13:13" ht="14.25" customHeight="1">
      <c r="M691" s="109"/>
    </row>
    <row r="692" spans="13:13" ht="14.25" customHeight="1">
      <c r="M692" s="109"/>
    </row>
    <row r="693" spans="13:13" ht="14.25" customHeight="1">
      <c r="M693" s="109"/>
    </row>
    <row r="694" spans="13:13" ht="14.25" customHeight="1">
      <c r="M694" s="109"/>
    </row>
    <row r="695" spans="13:13" ht="14.25" customHeight="1">
      <c r="M695" s="109"/>
    </row>
    <row r="696" spans="13:13" ht="14.25" customHeight="1">
      <c r="M696" s="109"/>
    </row>
    <row r="697" spans="13:13" ht="14.25" customHeight="1">
      <c r="M697" s="109"/>
    </row>
    <row r="698" spans="13:13" ht="14.25" customHeight="1">
      <c r="M698" s="109"/>
    </row>
    <row r="699" spans="13:13" ht="14.25" customHeight="1">
      <c r="M699" s="109"/>
    </row>
    <row r="700" spans="13:13" ht="14.25" customHeight="1">
      <c r="M700" s="109"/>
    </row>
    <row r="701" spans="13:13" ht="14.25" customHeight="1">
      <c r="M701" s="109"/>
    </row>
    <row r="702" spans="13:13" ht="14.25" customHeight="1">
      <c r="M702" s="109"/>
    </row>
    <row r="703" spans="13:13" ht="14.25" customHeight="1">
      <c r="M703" s="109"/>
    </row>
    <row r="704" spans="13:13" ht="14.25" customHeight="1">
      <c r="M704" s="109"/>
    </row>
    <row r="705" spans="13:13" ht="14.25" customHeight="1">
      <c r="M705" s="109"/>
    </row>
    <row r="706" spans="13:13" ht="14.25" customHeight="1">
      <c r="M706" s="109"/>
    </row>
    <row r="707" spans="13:13" ht="14.25" customHeight="1">
      <c r="M707" s="109"/>
    </row>
    <row r="708" spans="13:13" ht="14.25" customHeight="1">
      <c r="M708" s="109"/>
    </row>
    <row r="709" spans="13:13" ht="14.25" customHeight="1">
      <c r="M709" s="109"/>
    </row>
    <row r="710" spans="13:13" ht="14.25" customHeight="1">
      <c r="M710" s="109"/>
    </row>
    <row r="711" spans="13:13" ht="14.25" customHeight="1">
      <c r="M711" s="109"/>
    </row>
    <row r="712" spans="13:13" ht="14.25" customHeight="1">
      <c r="M712" s="109"/>
    </row>
    <row r="713" spans="13:13" ht="14.25" customHeight="1">
      <c r="M713" s="109"/>
    </row>
    <row r="714" spans="13:13" ht="14.25" customHeight="1">
      <c r="M714" s="109"/>
    </row>
    <row r="715" spans="13:13" ht="14.25" customHeight="1">
      <c r="M715" s="109"/>
    </row>
    <row r="716" spans="13:13" ht="14.25" customHeight="1">
      <c r="M716" s="109"/>
    </row>
    <row r="717" spans="13:13" ht="14.25" customHeight="1">
      <c r="M717" s="109"/>
    </row>
    <row r="718" spans="13:13" ht="14.25" customHeight="1">
      <c r="M718" s="109"/>
    </row>
    <row r="719" spans="13:13" ht="14.25" customHeight="1">
      <c r="M719" s="109"/>
    </row>
    <row r="720" spans="13:13" ht="14.25" customHeight="1">
      <c r="M720" s="109"/>
    </row>
    <row r="721" spans="13:13" ht="14.25" customHeight="1">
      <c r="M721" s="109"/>
    </row>
    <row r="722" spans="13:13" ht="14.25" customHeight="1">
      <c r="M722" s="109"/>
    </row>
    <row r="723" spans="13:13" ht="14.25" customHeight="1">
      <c r="M723" s="109"/>
    </row>
    <row r="724" spans="13:13" ht="14.25" customHeight="1">
      <c r="M724" s="109"/>
    </row>
    <row r="725" spans="13:13" ht="14.25" customHeight="1">
      <c r="M725" s="109"/>
    </row>
    <row r="726" spans="13:13" ht="14.25" customHeight="1">
      <c r="M726" s="109"/>
    </row>
    <row r="727" spans="13:13" ht="14.25" customHeight="1">
      <c r="M727" s="109"/>
    </row>
    <row r="728" spans="13:13" ht="14.25" customHeight="1">
      <c r="M728" s="109"/>
    </row>
    <row r="729" spans="13:13" ht="14.25" customHeight="1">
      <c r="M729" s="109"/>
    </row>
    <row r="730" spans="13:13" ht="14.25" customHeight="1">
      <c r="M730" s="109"/>
    </row>
    <row r="731" spans="13:13" ht="14.25" customHeight="1">
      <c r="M731" s="109"/>
    </row>
    <row r="732" spans="13:13" ht="14.25" customHeight="1">
      <c r="M732" s="109"/>
    </row>
    <row r="733" spans="13:13" ht="14.25" customHeight="1">
      <c r="M733" s="109"/>
    </row>
    <row r="734" spans="13:13" ht="14.25" customHeight="1">
      <c r="M734" s="109"/>
    </row>
    <row r="735" spans="13:13" ht="14.25" customHeight="1">
      <c r="M735" s="109"/>
    </row>
    <row r="736" spans="13:13" ht="14.25" customHeight="1">
      <c r="M736" s="109"/>
    </row>
    <row r="737" spans="13:13" ht="14.25" customHeight="1">
      <c r="M737" s="109"/>
    </row>
    <row r="738" spans="13:13" ht="14.25" customHeight="1">
      <c r="M738" s="109"/>
    </row>
    <row r="739" spans="13:13" ht="14.25" customHeight="1">
      <c r="M739" s="109"/>
    </row>
    <row r="740" spans="13:13" ht="14.25" customHeight="1">
      <c r="M740" s="109"/>
    </row>
    <row r="741" spans="13:13" ht="14.25" customHeight="1">
      <c r="M741" s="109"/>
    </row>
    <row r="742" spans="13:13" ht="14.25" customHeight="1">
      <c r="M742" s="109"/>
    </row>
    <row r="743" spans="13:13" ht="14.25" customHeight="1">
      <c r="M743" s="109"/>
    </row>
    <row r="744" spans="13:13" ht="14.25" customHeight="1">
      <c r="M744" s="109"/>
    </row>
    <row r="745" spans="13:13" ht="14.25" customHeight="1">
      <c r="M745" s="109"/>
    </row>
    <row r="746" spans="13:13" ht="14.25" customHeight="1">
      <c r="M746" s="109"/>
    </row>
    <row r="747" spans="13:13" ht="14.25" customHeight="1">
      <c r="M747" s="109"/>
    </row>
    <row r="748" spans="13:13" ht="14.25" customHeight="1">
      <c r="M748" s="109"/>
    </row>
    <row r="749" spans="13:13" ht="14.25" customHeight="1">
      <c r="M749" s="109"/>
    </row>
    <row r="750" spans="13:13" ht="14.25" customHeight="1">
      <c r="M750" s="109"/>
    </row>
    <row r="751" spans="13:13" ht="14.25" customHeight="1">
      <c r="M751" s="109"/>
    </row>
    <row r="752" spans="13:13" ht="14.25" customHeight="1">
      <c r="M752" s="109"/>
    </row>
    <row r="753" spans="13:13" ht="14.25" customHeight="1">
      <c r="M753" s="109"/>
    </row>
    <row r="754" spans="13:13" ht="14.25" customHeight="1">
      <c r="M754" s="109"/>
    </row>
    <row r="755" spans="13:13" ht="14.25" customHeight="1">
      <c r="M755" s="109"/>
    </row>
    <row r="756" spans="13:13" ht="14.25" customHeight="1">
      <c r="M756" s="109"/>
    </row>
    <row r="757" spans="13:13" ht="14.25" customHeight="1">
      <c r="M757" s="109"/>
    </row>
    <row r="758" spans="13:13" ht="14.25" customHeight="1">
      <c r="M758" s="109"/>
    </row>
    <row r="759" spans="13:13" ht="14.25" customHeight="1">
      <c r="M759" s="109"/>
    </row>
    <row r="760" spans="13:13" ht="14.25" customHeight="1">
      <c r="M760" s="109"/>
    </row>
    <row r="761" spans="13:13" ht="14.25" customHeight="1">
      <c r="M761" s="109"/>
    </row>
    <row r="762" spans="13:13" ht="14.25" customHeight="1">
      <c r="M762" s="109"/>
    </row>
    <row r="763" spans="13:13" ht="14.25" customHeight="1">
      <c r="M763" s="109"/>
    </row>
    <row r="764" spans="13:13" ht="14.25" customHeight="1">
      <c r="M764" s="109"/>
    </row>
    <row r="765" spans="13:13" ht="14.25" customHeight="1">
      <c r="M765" s="109"/>
    </row>
    <row r="766" spans="13:13" ht="14.25" customHeight="1">
      <c r="M766" s="109"/>
    </row>
    <row r="767" spans="13:13" ht="14.25" customHeight="1">
      <c r="M767" s="109"/>
    </row>
    <row r="768" spans="13:13" ht="14.25" customHeight="1">
      <c r="M768" s="109"/>
    </row>
    <row r="769" spans="13:13" ht="14.25" customHeight="1">
      <c r="M769" s="109"/>
    </row>
    <row r="770" spans="13:13" ht="14.25" customHeight="1">
      <c r="M770" s="109"/>
    </row>
    <row r="771" spans="13:13" ht="14.25" customHeight="1">
      <c r="M771" s="109"/>
    </row>
    <row r="772" spans="13:13" ht="14.25" customHeight="1">
      <c r="M772" s="109"/>
    </row>
    <row r="773" spans="13:13" ht="14.25" customHeight="1">
      <c r="M773" s="109"/>
    </row>
    <row r="774" spans="13:13" ht="14.25" customHeight="1">
      <c r="M774" s="109"/>
    </row>
    <row r="775" spans="13:13" ht="14.25" customHeight="1">
      <c r="M775" s="109"/>
    </row>
    <row r="776" spans="13:13" ht="14.25" customHeight="1">
      <c r="M776" s="109"/>
    </row>
    <row r="777" spans="13:13" ht="14.25" customHeight="1">
      <c r="M777" s="109"/>
    </row>
    <row r="778" spans="13:13" ht="14.25" customHeight="1">
      <c r="M778" s="109"/>
    </row>
    <row r="779" spans="13:13" ht="14.25" customHeight="1">
      <c r="M779" s="109"/>
    </row>
    <row r="780" spans="13:13" ht="14.25" customHeight="1">
      <c r="M780" s="109"/>
    </row>
    <row r="781" spans="13:13" ht="14.25" customHeight="1">
      <c r="M781" s="109"/>
    </row>
    <row r="782" spans="13:13" ht="14.25" customHeight="1">
      <c r="M782" s="109"/>
    </row>
    <row r="783" spans="13:13" ht="14.25" customHeight="1">
      <c r="M783" s="109"/>
    </row>
    <row r="784" spans="13:13" ht="14.25" customHeight="1">
      <c r="M784" s="109"/>
    </row>
    <row r="785" spans="13:13" ht="14.25" customHeight="1">
      <c r="M785" s="109"/>
    </row>
    <row r="786" spans="13:13" ht="14.25" customHeight="1">
      <c r="M786" s="109"/>
    </row>
    <row r="787" spans="13:13" ht="14.25" customHeight="1">
      <c r="M787" s="109"/>
    </row>
    <row r="788" spans="13:13" ht="14.25" customHeight="1">
      <c r="M788" s="109"/>
    </row>
    <row r="789" spans="13:13" ht="14.25" customHeight="1">
      <c r="M789" s="109"/>
    </row>
    <row r="790" spans="13:13" ht="14.25" customHeight="1">
      <c r="M790" s="109"/>
    </row>
    <row r="791" spans="13:13" ht="14.25" customHeight="1">
      <c r="M791" s="109"/>
    </row>
    <row r="792" spans="13:13" ht="14.25" customHeight="1">
      <c r="M792" s="109"/>
    </row>
    <row r="793" spans="13:13" ht="14.25" customHeight="1">
      <c r="M793" s="109"/>
    </row>
    <row r="794" spans="13:13" ht="14.25" customHeight="1">
      <c r="M794" s="109"/>
    </row>
    <row r="795" spans="13:13" ht="14.25" customHeight="1">
      <c r="M795" s="109"/>
    </row>
    <row r="796" spans="13:13" ht="14.25" customHeight="1">
      <c r="M796" s="109"/>
    </row>
    <row r="797" spans="13:13" ht="14.25" customHeight="1">
      <c r="M797" s="109"/>
    </row>
    <row r="798" spans="13:13" ht="14.25" customHeight="1">
      <c r="M798" s="109"/>
    </row>
    <row r="799" spans="13:13" ht="14.25" customHeight="1">
      <c r="M799" s="109"/>
    </row>
    <row r="800" spans="13:13" ht="14.25" customHeight="1">
      <c r="M800" s="109"/>
    </row>
    <row r="801" spans="13:13" ht="14.25" customHeight="1">
      <c r="M801" s="109"/>
    </row>
    <row r="802" spans="13:13" ht="14.25" customHeight="1">
      <c r="M802" s="109"/>
    </row>
    <row r="803" spans="13:13" ht="14.25" customHeight="1">
      <c r="M803" s="109"/>
    </row>
    <row r="804" spans="13:13" ht="14.25" customHeight="1">
      <c r="M804" s="109"/>
    </row>
    <row r="805" spans="13:13" ht="14.25" customHeight="1">
      <c r="M805" s="109"/>
    </row>
    <row r="806" spans="13:13" ht="14.25" customHeight="1">
      <c r="M806" s="109"/>
    </row>
    <row r="807" spans="13:13" ht="14.25" customHeight="1">
      <c r="M807" s="109"/>
    </row>
    <row r="808" spans="13:13" ht="14.25" customHeight="1">
      <c r="M808" s="109"/>
    </row>
    <row r="809" spans="13:13" ht="14.25" customHeight="1">
      <c r="M809" s="109"/>
    </row>
    <row r="810" spans="13:13" ht="14.25" customHeight="1">
      <c r="M810" s="109"/>
    </row>
    <row r="811" spans="13:13" ht="14.25" customHeight="1">
      <c r="M811" s="109"/>
    </row>
    <row r="812" spans="13:13" ht="14.25" customHeight="1">
      <c r="M812" s="109"/>
    </row>
    <row r="813" spans="13:13" ht="14.25" customHeight="1">
      <c r="M813" s="109"/>
    </row>
    <row r="814" spans="13:13" ht="14.25" customHeight="1">
      <c r="M814" s="109"/>
    </row>
    <row r="815" spans="13:13" ht="14.25" customHeight="1">
      <c r="M815" s="109"/>
    </row>
    <row r="816" spans="13:13" ht="14.25" customHeight="1">
      <c r="M816" s="109"/>
    </row>
    <row r="817" spans="13:13" ht="14.25" customHeight="1">
      <c r="M817" s="109"/>
    </row>
    <row r="818" spans="13:13" ht="14.25" customHeight="1">
      <c r="M818" s="109"/>
    </row>
    <row r="819" spans="13:13" ht="14.25" customHeight="1">
      <c r="M819" s="109"/>
    </row>
    <row r="820" spans="13:13" ht="14.25" customHeight="1">
      <c r="M820" s="109"/>
    </row>
    <row r="821" spans="13:13" ht="14.25" customHeight="1">
      <c r="M821" s="109"/>
    </row>
    <row r="822" spans="13:13" ht="14.25" customHeight="1">
      <c r="M822" s="109"/>
    </row>
    <row r="823" spans="13:13" ht="14.25" customHeight="1">
      <c r="M823" s="109"/>
    </row>
    <row r="824" spans="13:13" ht="14.25" customHeight="1">
      <c r="M824" s="109"/>
    </row>
    <row r="825" spans="13:13" ht="14.25" customHeight="1">
      <c r="M825" s="109"/>
    </row>
    <row r="826" spans="13:13" ht="14.25" customHeight="1">
      <c r="M826" s="109"/>
    </row>
    <row r="827" spans="13:13" ht="14.25" customHeight="1">
      <c r="M827" s="109"/>
    </row>
    <row r="828" spans="13:13" ht="14.25" customHeight="1">
      <c r="M828" s="109"/>
    </row>
    <row r="829" spans="13:13" ht="14.25" customHeight="1">
      <c r="M829" s="109"/>
    </row>
    <row r="830" spans="13:13" ht="14.25" customHeight="1">
      <c r="M830" s="109"/>
    </row>
    <row r="831" spans="13:13" ht="14.25" customHeight="1">
      <c r="M831" s="109"/>
    </row>
    <row r="832" spans="13:13" ht="14.25" customHeight="1">
      <c r="M832" s="109"/>
    </row>
    <row r="833" spans="13:13" ht="14.25" customHeight="1">
      <c r="M833" s="109"/>
    </row>
    <row r="834" spans="13:13" ht="14.25" customHeight="1">
      <c r="M834" s="109"/>
    </row>
    <row r="835" spans="13:13" ht="14.25" customHeight="1">
      <c r="M835" s="109"/>
    </row>
    <row r="836" spans="13:13" ht="14.25" customHeight="1">
      <c r="M836" s="109"/>
    </row>
    <row r="837" spans="13:13" ht="14.25" customHeight="1">
      <c r="M837" s="109"/>
    </row>
    <row r="838" spans="13:13" ht="14.25" customHeight="1">
      <c r="M838" s="109"/>
    </row>
    <row r="839" spans="13:13" ht="14.25" customHeight="1">
      <c r="M839" s="109"/>
    </row>
    <row r="840" spans="13:13" ht="14.25" customHeight="1">
      <c r="M840" s="109"/>
    </row>
    <row r="841" spans="13:13" ht="14.25" customHeight="1">
      <c r="M841" s="109"/>
    </row>
    <row r="842" spans="13:13" ht="14.25" customHeight="1">
      <c r="M842" s="109"/>
    </row>
    <row r="843" spans="13:13" ht="14.25" customHeight="1">
      <c r="M843" s="109"/>
    </row>
    <row r="844" spans="13:13" ht="14.25" customHeight="1">
      <c r="M844" s="109"/>
    </row>
    <row r="845" spans="13:13" ht="14.25" customHeight="1">
      <c r="M845" s="109"/>
    </row>
    <row r="846" spans="13:13" ht="14.25" customHeight="1">
      <c r="M846" s="109"/>
    </row>
    <row r="847" spans="13:13" ht="14.25" customHeight="1">
      <c r="M847" s="109"/>
    </row>
    <row r="848" spans="13:13" ht="14.25" customHeight="1">
      <c r="M848" s="109"/>
    </row>
    <row r="849" spans="13:13" ht="14.25" customHeight="1">
      <c r="M849" s="109"/>
    </row>
    <row r="850" spans="13:13" ht="14.25" customHeight="1">
      <c r="M850" s="109"/>
    </row>
    <row r="851" spans="13:13" ht="14.25" customHeight="1">
      <c r="M851" s="109"/>
    </row>
    <row r="852" spans="13:13" ht="14.25" customHeight="1">
      <c r="M852" s="109"/>
    </row>
    <row r="853" spans="13:13" ht="14.25" customHeight="1">
      <c r="M853" s="109"/>
    </row>
    <row r="854" spans="13:13" ht="14.25" customHeight="1">
      <c r="M854" s="109"/>
    </row>
    <row r="855" spans="13:13" ht="14.25" customHeight="1">
      <c r="M855" s="109"/>
    </row>
    <row r="856" spans="13:13" ht="14.25" customHeight="1">
      <c r="M856" s="109"/>
    </row>
    <row r="857" spans="13:13" ht="14.25" customHeight="1">
      <c r="M857" s="109"/>
    </row>
    <row r="858" spans="13:13" ht="14.25" customHeight="1">
      <c r="M858" s="109"/>
    </row>
    <row r="859" spans="13:13" ht="14.25" customHeight="1">
      <c r="M859" s="109"/>
    </row>
    <row r="860" spans="13:13" ht="14.25" customHeight="1">
      <c r="M860" s="109"/>
    </row>
    <row r="861" spans="13:13" ht="14.25" customHeight="1">
      <c r="M861" s="109"/>
    </row>
    <row r="862" spans="13:13" ht="14.25" customHeight="1">
      <c r="M862" s="109"/>
    </row>
    <row r="863" spans="13:13" ht="14.25" customHeight="1">
      <c r="M863" s="109"/>
    </row>
    <row r="864" spans="13:13" ht="14.25" customHeight="1">
      <c r="M864" s="109"/>
    </row>
    <row r="865" spans="13:13" ht="14.25" customHeight="1">
      <c r="M865" s="109"/>
    </row>
    <row r="866" spans="13:13" ht="14.25" customHeight="1">
      <c r="M866" s="109"/>
    </row>
    <row r="867" spans="13:13" ht="14.25" customHeight="1">
      <c r="M867" s="109"/>
    </row>
    <row r="868" spans="13:13" ht="14.25" customHeight="1">
      <c r="M868" s="109"/>
    </row>
    <row r="869" spans="13:13" ht="14.25" customHeight="1">
      <c r="M869" s="109"/>
    </row>
    <row r="870" spans="13:13" ht="14.25" customHeight="1">
      <c r="M870" s="109"/>
    </row>
    <row r="871" spans="13:13" ht="14.25" customHeight="1">
      <c r="M871" s="109"/>
    </row>
    <row r="872" spans="13:13" ht="14.25" customHeight="1">
      <c r="M872" s="109"/>
    </row>
    <row r="873" spans="13:13" ht="14.25" customHeight="1">
      <c r="M873" s="109"/>
    </row>
    <row r="874" spans="13:13" ht="14.25" customHeight="1">
      <c r="M874" s="109"/>
    </row>
    <row r="875" spans="13:13" ht="14.25" customHeight="1">
      <c r="M875" s="109"/>
    </row>
    <row r="876" spans="13:13" ht="14.25" customHeight="1">
      <c r="M876" s="109"/>
    </row>
    <row r="877" spans="13:13" ht="14.25" customHeight="1">
      <c r="M877" s="109"/>
    </row>
    <row r="878" spans="13:13" ht="14.25" customHeight="1">
      <c r="M878" s="109"/>
    </row>
    <row r="879" spans="13:13" ht="14.25" customHeight="1">
      <c r="M879" s="109"/>
    </row>
    <row r="880" spans="13:13" ht="14.25" customHeight="1">
      <c r="M880" s="109"/>
    </row>
    <row r="881" spans="13:13" ht="14.25" customHeight="1">
      <c r="M881" s="109"/>
    </row>
    <row r="882" spans="13:13" ht="14.25" customHeight="1">
      <c r="M882" s="109"/>
    </row>
    <row r="883" spans="13:13" ht="14.25" customHeight="1">
      <c r="M883" s="109"/>
    </row>
    <row r="884" spans="13:13" ht="14.25" customHeight="1">
      <c r="M884" s="109"/>
    </row>
    <row r="885" spans="13:13" ht="14.25" customHeight="1">
      <c r="M885" s="109"/>
    </row>
    <row r="886" spans="13:13" ht="14.25" customHeight="1">
      <c r="M886" s="109"/>
    </row>
    <row r="887" spans="13:13" ht="14.25" customHeight="1">
      <c r="M887" s="109"/>
    </row>
    <row r="888" spans="13:13" ht="14.25" customHeight="1">
      <c r="M888" s="109"/>
    </row>
    <row r="889" spans="13:13" ht="14.25" customHeight="1">
      <c r="M889" s="109"/>
    </row>
    <row r="890" spans="13:13" ht="14.25" customHeight="1">
      <c r="M890" s="109"/>
    </row>
    <row r="891" spans="13:13" ht="14.25" customHeight="1">
      <c r="M891" s="109"/>
    </row>
    <row r="892" spans="13:13" ht="14.25" customHeight="1">
      <c r="M892" s="109"/>
    </row>
    <row r="893" spans="13:13" ht="14.25" customHeight="1">
      <c r="M893" s="109"/>
    </row>
    <row r="894" spans="13:13" ht="14.25" customHeight="1">
      <c r="M894" s="109"/>
    </row>
    <row r="895" spans="13:13" ht="14.25" customHeight="1">
      <c r="M895" s="109"/>
    </row>
    <row r="896" spans="13:13" ht="14.25" customHeight="1">
      <c r="M896" s="109"/>
    </row>
    <row r="897" spans="13:13" ht="14.25" customHeight="1">
      <c r="M897" s="109"/>
    </row>
    <row r="898" spans="13:13" ht="14.25" customHeight="1">
      <c r="M898" s="109"/>
    </row>
    <row r="899" spans="13:13" ht="14.25" customHeight="1">
      <c r="M899" s="109"/>
    </row>
    <row r="900" spans="13:13" ht="14.25" customHeight="1">
      <c r="M900" s="109"/>
    </row>
    <row r="901" spans="13:13" ht="14.25" customHeight="1">
      <c r="M901" s="109"/>
    </row>
    <row r="902" spans="13:13" ht="14.25" customHeight="1">
      <c r="M902" s="109"/>
    </row>
    <row r="903" spans="13:13" ht="14.25" customHeight="1">
      <c r="M903" s="109"/>
    </row>
    <row r="904" spans="13:13" ht="14.25" customHeight="1">
      <c r="M904" s="109"/>
    </row>
    <row r="905" spans="13:13" ht="14.25" customHeight="1">
      <c r="M905" s="109"/>
    </row>
    <row r="906" spans="13:13" ht="14.25" customHeight="1">
      <c r="M906" s="109"/>
    </row>
    <row r="907" spans="13:13" ht="14.25" customHeight="1">
      <c r="M907" s="109"/>
    </row>
    <row r="908" spans="13:13" ht="14.25" customHeight="1">
      <c r="M908" s="109"/>
    </row>
    <row r="909" spans="13:13" ht="14.25" customHeight="1">
      <c r="M909" s="109"/>
    </row>
    <row r="910" spans="13:13" ht="14.25" customHeight="1">
      <c r="M910" s="109"/>
    </row>
    <row r="911" spans="13:13" ht="14.25" customHeight="1">
      <c r="M911" s="109"/>
    </row>
    <row r="912" spans="13:13" ht="14.25" customHeight="1">
      <c r="M912" s="109"/>
    </row>
    <row r="913" spans="13:13" ht="14.25" customHeight="1">
      <c r="M913" s="109"/>
    </row>
    <row r="914" spans="13:13" ht="14.25" customHeight="1">
      <c r="M914" s="109"/>
    </row>
    <row r="915" spans="13:13" ht="14.25" customHeight="1">
      <c r="M915" s="109"/>
    </row>
    <row r="916" spans="13:13" ht="14.25" customHeight="1">
      <c r="M916" s="109"/>
    </row>
    <row r="917" spans="13:13" ht="14.25" customHeight="1">
      <c r="M917" s="109"/>
    </row>
    <row r="918" spans="13:13" ht="14.25" customHeight="1">
      <c r="M918" s="109"/>
    </row>
    <row r="919" spans="13:13" ht="14.25" customHeight="1">
      <c r="M919" s="109"/>
    </row>
    <row r="920" spans="13:13" ht="14.25" customHeight="1">
      <c r="M920" s="109"/>
    </row>
    <row r="921" spans="13:13" ht="14.25" customHeight="1">
      <c r="M921" s="109"/>
    </row>
    <row r="922" spans="13:13" ht="14.25" customHeight="1">
      <c r="M922" s="109"/>
    </row>
    <row r="923" spans="13:13" ht="14.25" customHeight="1">
      <c r="M923" s="109"/>
    </row>
    <row r="924" spans="13:13" ht="14.25" customHeight="1">
      <c r="M924" s="109"/>
    </row>
    <row r="925" spans="13:13" ht="14.25" customHeight="1">
      <c r="M925" s="109"/>
    </row>
    <row r="926" spans="13:13" ht="14.25" customHeight="1">
      <c r="M926" s="109"/>
    </row>
    <row r="927" spans="13:13" ht="14.25" customHeight="1">
      <c r="M927" s="109"/>
    </row>
    <row r="928" spans="13:13" ht="14.25" customHeight="1">
      <c r="M928" s="109"/>
    </row>
    <row r="929" spans="13:13" ht="14.25" customHeight="1">
      <c r="M929" s="109"/>
    </row>
    <row r="930" spans="13:13" ht="14.25" customHeight="1">
      <c r="M930" s="109"/>
    </row>
    <row r="931" spans="13:13" ht="14.25" customHeight="1">
      <c r="M931" s="109"/>
    </row>
    <row r="932" spans="13:13" ht="14.25" customHeight="1">
      <c r="M932" s="109"/>
    </row>
    <row r="933" spans="13:13" ht="14.25" customHeight="1">
      <c r="M933" s="109"/>
    </row>
    <row r="934" spans="13:13" ht="14.25" customHeight="1">
      <c r="M934" s="109"/>
    </row>
    <row r="935" spans="13:13" ht="14.25" customHeight="1">
      <c r="M935" s="109"/>
    </row>
    <row r="936" spans="13:13" ht="14.25" customHeight="1">
      <c r="M936" s="109"/>
    </row>
    <row r="937" spans="13:13" ht="14.25" customHeight="1">
      <c r="M937" s="109"/>
    </row>
    <row r="938" spans="13:13" ht="14.25" customHeight="1">
      <c r="M938" s="109"/>
    </row>
    <row r="939" spans="13:13" ht="14.25" customHeight="1">
      <c r="M939" s="109"/>
    </row>
    <row r="940" spans="13:13" ht="14.25" customHeight="1">
      <c r="M940" s="109"/>
    </row>
    <row r="941" spans="13:13" ht="14.25" customHeight="1">
      <c r="M941" s="109"/>
    </row>
    <row r="942" spans="13:13" ht="14.25" customHeight="1">
      <c r="M942" s="109"/>
    </row>
    <row r="943" spans="13:13" ht="14.25" customHeight="1">
      <c r="M943" s="109"/>
    </row>
    <row r="944" spans="13:13" ht="14.25" customHeight="1">
      <c r="M944" s="109"/>
    </row>
    <row r="945" spans="13:13" ht="14.25" customHeight="1">
      <c r="M945" s="109"/>
    </row>
    <row r="946" spans="13:13" ht="14.25" customHeight="1">
      <c r="M946" s="109"/>
    </row>
    <row r="947" spans="13:13" ht="14.25" customHeight="1">
      <c r="M947" s="109"/>
    </row>
    <row r="948" spans="13:13" ht="14.25" customHeight="1">
      <c r="M948" s="109"/>
    </row>
    <row r="949" spans="13:13" ht="14.25" customHeight="1">
      <c r="M949" s="109"/>
    </row>
    <row r="950" spans="13:13" ht="14.25" customHeight="1">
      <c r="M950" s="109"/>
    </row>
    <row r="951" spans="13:13" ht="14.25" customHeight="1">
      <c r="M951" s="109"/>
    </row>
    <row r="952" spans="13:13" ht="14.25" customHeight="1">
      <c r="M952" s="109"/>
    </row>
    <row r="953" spans="13:13" ht="14.25" customHeight="1">
      <c r="M953" s="109"/>
    </row>
    <row r="954" spans="13:13" ht="14.25" customHeight="1">
      <c r="M954" s="109"/>
    </row>
    <row r="955" spans="13:13" ht="14.25" customHeight="1">
      <c r="M955" s="109"/>
    </row>
    <row r="956" spans="13:13" ht="14.25" customHeight="1">
      <c r="M956" s="109"/>
    </row>
    <row r="957" spans="13:13" ht="14.25" customHeight="1">
      <c r="M957" s="109"/>
    </row>
    <row r="958" spans="13:13" ht="14.25" customHeight="1">
      <c r="M958" s="109"/>
    </row>
    <row r="959" spans="13:13" ht="14.25" customHeight="1">
      <c r="M959" s="109"/>
    </row>
    <row r="960" spans="13:13" ht="14.25" customHeight="1">
      <c r="M960" s="109"/>
    </row>
    <row r="961" spans="13:13" ht="14.25" customHeight="1">
      <c r="M961" s="109"/>
    </row>
    <row r="962" spans="13:13" ht="14.25" customHeight="1">
      <c r="M962" s="109"/>
    </row>
    <row r="963" spans="13:13" ht="14.25" customHeight="1">
      <c r="M963" s="109"/>
    </row>
    <row r="964" spans="13:13" ht="14.25" customHeight="1">
      <c r="M964" s="109"/>
    </row>
    <row r="965" spans="13:13" ht="14.25" customHeight="1">
      <c r="M965" s="109"/>
    </row>
    <row r="966" spans="13:13" ht="14.25" customHeight="1">
      <c r="M966" s="109"/>
    </row>
    <row r="967" spans="13:13" ht="14.25" customHeight="1">
      <c r="M967" s="109"/>
    </row>
    <row r="968" spans="13:13" ht="14.25" customHeight="1">
      <c r="M968" s="109"/>
    </row>
    <row r="969" spans="13:13" ht="14.25" customHeight="1">
      <c r="M969" s="109"/>
    </row>
    <row r="970" spans="13:13" ht="14.25" customHeight="1">
      <c r="M970" s="109"/>
    </row>
    <row r="971" spans="13:13" ht="14.25" customHeight="1">
      <c r="M971" s="109"/>
    </row>
    <row r="972" spans="13:13" ht="14.25" customHeight="1">
      <c r="M972" s="109"/>
    </row>
    <row r="973" spans="13:13" ht="14.25" customHeight="1">
      <c r="M973" s="109"/>
    </row>
    <row r="974" spans="13:13" ht="14.25" customHeight="1">
      <c r="M974" s="109"/>
    </row>
    <row r="975" spans="13:13" ht="14.25" customHeight="1">
      <c r="M975" s="109"/>
    </row>
    <row r="976" spans="13:13" ht="14.25" customHeight="1">
      <c r="M976" s="109"/>
    </row>
    <row r="977" spans="13:13" ht="14.25" customHeight="1">
      <c r="M977" s="109"/>
    </row>
    <row r="978" spans="13:13" ht="14.25" customHeight="1">
      <c r="M978" s="109"/>
    </row>
    <row r="979" spans="13:13" ht="14.25" customHeight="1">
      <c r="M979" s="109"/>
    </row>
    <row r="980" spans="13:13" ht="14.25" customHeight="1">
      <c r="M980" s="109"/>
    </row>
    <row r="981" spans="13:13" ht="14.25" customHeight="1">
      <c r="M981" s="109"/>
    </row>
    <row r="982" spans="13:13" ht="14.25" customHeight="1">
      <c r="M982" s="109"/>
    </row>
    <row r="983" spans="13:13" ht="14.25" customHeight="1">
      <c r="M983" s="109"/>
    </row>
    <row r="984" spans="13:13" ht="14.25" customHeight="1">
      <c r="M984" s="109"/>
    </row>
    <row r="985" spans="13:13" ht="14.25" customHeight="1">
      <c r="M985" s="109"/>
    </row>
    <row r="986" spans="13:13" ht="14.25" customHeight="1">
      <c r="M986" s="109"/>
    </row>
    <row r="987" spans="13:13" ht="14.25" customHeight="1">
      <c r="M987" s="109"/>
    </row>
    <row r="988" spans="13:13" ht="14.25" customHeight="1">
      <c r="M988" s="109"/>
    </row>
    <row r="989" spans="13:13" ht="14.25" customHeight="1">
      <c r="M989" s="109"/>
    </row>
    <row r="990" spans="13:13" ht="14.25" customHeight="1">
      <c r="M990" s="109"/>
    </row>
    <row r="991" spans="13:13" ht="14.25" customHeight="1">
      <c r="M991" s="109"/>
    </row>
    <row r="992" spans="13:13" ht="14.25" customHeight="1">
      <c r="M992" s="109"/>
    </row>
    <row r="993" spans="13:13" ht="14.25" customHeight="1">
      <c r="M993" s="109"/>
    </row>
    <row r="994" spans="13:13" ht="14.25" customHeight="1">
      <c r="M994" s="109"/>
    </row>
    <row r="995" spans="13:13" ht="14.25" customHeight="1">
      <c r="M995" s="109"/>
    </row>
    <row r="996" spans="13:13" ht="14.25" customHeight="1">
      <c r="M996" s="109"/>
    </row>
    <row r="997" spans="13:13" ht="14.25" customHeight="1">
      <c r="M997" s="109"/>
    </row>
    <row r="998" spans="13:13" ht="14.25" customHeight="1">
      <c r="M998" s="109"/>
    </row>
    <row r="999" spans="13:13" ht="14.25" customHeight="1">
      <c r="M999" s="109"/>
    </row>
    <row r="1000" spans="13:13" ht="14.25" customHeight="1">
      <c r="M1000" s="109"/>
    </row>
  </sheetData>
  <mergeCells count="41">
    <mergeCell ref="D49:F49"/>
    <mergeCell ref="O50:P50"/>
    <mergeCell ref="R50:S50"/>
    <mergeCell ref="I9:M9"/>
    <mergeCell ref="D44:F44"/>
    <mergeCell ref="D45:F45"/>
    <mergeCell ref="D46:F46"/>
    <mergeCell ref="D47:F47"/>
    <mergeCell ref="D48:F48"/>
    <mergeCell ref="D39:F39"/>
    <mergeCell ref="D40:F40"/>
    <mergeCell ref="D41:F41"/>
    <mergeCell ref="D42:F42"/>
    <mergeCell ref="D43:F43"/>
    <mergeCell ref="D34:F34"/>
    <mergeCell ref="D35:F35"/>
    <mergeCell ref="D36:F36"/>
    <mergeCell ref="D37:F37"/>
    <mergeCell ref="D38:F38"/>
    <mergeCell ref="D29:F29"/>
    <mergeCell ref="D30:F30"/>
    <mergeCell ref="D31:F31"/>
    <mergeCell ref="D32:F32"/>
    <mergeCell ref="D33:F33"/>
    <mergeCell ref="A16:F16"/>
    <mergeCell ref="I16:P20"/>
    <mergeCell ref="I21:P21"/>
    <mergeCell ref="I22:P26"/>
    <mergeCell ref="M28:N28"/>
    <mergeCell ref="O28:P28"/>
    <mergeCell ref="A8:H8"/>
    <mergeCell ref="I8:P8"/>
    <mergeCell ref="R9:S9"/>
    <mergeCell ref="A15:H15"/>
    <mergeCell ref="I15:P15"/>
    <mergeCell ref="I2:J2"/>
    <mergeCell ref="I3:J3"/>
    <mergeCell ref="I4:J4"/>
    <mergeCell ref="M4:N4"/>
    <mergeCell ref="I6:J6"/>
    <mergeCell ref="M6:N6"/>
  </mergeCells>
  <dataValidations count="5">
    <dataValidation type="list" allowBlank="1" showInputMessage="1" showErrorMessage="1" sqref="G30:G49" xr:uid="{00000000-0002-0000-0000-000000000000}">
      <formula1>"SP,ES"</formula1>
    </dataValidation>
    <dataValidation type="list" allowBlank="1" showInputMessage="1" showErrorMessage="1" sqref="H17" xr:uid="{00000000-0002-0000-0000-000001000000}">
      <formula1>"SIM,NÃO"</formula1>
      <formula2>0</formula2>
    </dataValidation>
    <dataValidation type="list" allowBlank="1" showInputMessage="1" showErrorMessage="1" sqref="K6" xr:uid="{00000000-0002-0000-0000-000002000000}">
      <formula1>$R$11:$R$36</formula1>
      <formula2>0</formula2>
    </dataValidation>
    <dataValidation type="list" allowBlank="1" showInputMessage="1" showErrorMessage="1" sqref="M50:M1000" xr:uid="{00000000-0002-0000-0000-000003000000}">
      <formula1>#REF!</formula1>
    </dataValidation>
    <dataValidation type="list" allowBlank="1" showInputMessage="1" showErrorMessage="1" sqref="O6" xr:uid="{00000000-0002-0000-0000-000005000000}">
      <formula1>$S$11:$S$36</formula1>
      <formula2>0</formula2>
    </dataValidation>
  </dataValidations>
  <hyperlinks>
    <hyperlink ref="O14" r:id="rId1" xr:uid="{849456AC-B04F-4151-9ED8-65B618555BCA}"/>
  </hyperlinks>
  <pageMargins left="0.25" right="0.25" top="0.75" bottom="0.75" header="0.3" footer="0.3"/>
  <pageSetup paperSize="9" scale="47" orientation="landscape" useFirstPageNumber="1" horizontalDpi="4294967295" verticalDpi="429496729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3"/>
  <sheetViews>
    <sheetView showGridLines="0" zoomScaleNormal="100" workbookViewId="0">
      <selection activeCell="B21" sqref="B21"/>
    </sheetView>
  </sheetViews>
  <sheetFormatPr defaultRowHeight="15"/>
  <cols>
    <col min="2" max="2" width="34.28515625" customWidth="1"/>
    <col min="4" max="4" width="34.28515625" customWidth="1"/>
    <col min="6" max="7" width="17" customWidth="1"/>
    <col min="9" max="9" width="18.5703125" customWidth="1"/>
    <col min="10" max="10" width="18.42578125" customWidth="1"/>
    <col min="11" max="11" width="17.140625" customWidth="1"/>
    <col min="12" max="12" width="18.42578125" customWidth="1"/>
  </cols>
  <sheetData>
    <row r="2" spans="2:12" ht="15.75" customHeight="1">
      <c r="B2" s="110" t="s">
        <v>44</v>
      </c>
      <c r="D2" s="110" t="s">
        <v>162</v>
      </c>
      <c r="F2" s="110" t="s">
        <v>44</v>
      </c>
      <c r="G2" s="110" t="s">
        <v>162</v>
      </c>
      <c r="I2" s="110" t="s">
        <v>163</v>
      </c>
      <c r="J2" s="110" t="s">
        <v>164</v>
      </c>
      <c r="K2" s="110" t="s">
        <v>165</v>
      </c>
      <c r="L2" s="110" t="s">
        <v>166</v>
      </c>
    </row>
    <row r="3" spans="2:12">
      <c r="B3" s="111" t="s">
        <v>167</v>
      </c>
      <c r="D3" s="111" t="s">
        <v>168</v>
      </c>
      <c r="F3" s="111" t="s">
        <v>169</v>
      </c>
      <c r="G3" s="111" t="s">
        <v>169</v>
      </c>
      <c r="I3" s="111" t="s">
        <v>170</v>
      </c>
      <c r="J3" s="111" t="s">
        <v>150</v>
      </c>
      <c r="K3" s="111" t="s">
        <v>150</v>
      </c>
      <c r="L3" s="111" t="s">
        <v>150</v>
      </c>
    </row>
    <row r="4" spans="2:12">
      <c r="B4" s="111" t="s">
        <v>171</v>
      </c>
      <c r="D4" s="111" t="s">
        <v>172</v>
      </c>
      <c r="F4" s="111" t="s">
        <v>173</v>
      </c>
    </row>
    <row r="5" spans="2:12">
      <c r="B5" s="111" t="s">
        <v>174</v>
      </c>
      <c r="D5" s="111" t="s">
        <v>175</v>
      </c>
      <c r="F5" s="111" t="s">
        <v>153</v>
      </c>
    </row>
    <row r="6" spans="2:12">
      <c r="B6" s="111" t="s">
        <v>176</v>
      </c>
      <c r="D6" s="111" t="s">
        <v>177</v>
      </c>
      <c r="F6" s="111" t="s">
        <v>148</v>
      </c>
    </row>
    <row r="7" spans="2:12">
      <c r="B7" s="111" t="s">
        <v>178</v>
      </c>
      <c r="D7" s="111" t="s">
        <v>179</v>
      </c>
    </row>
    <row r="8" spans="2:12">
      <c r="B8" s="111" t="s">
        <v>180</v>
      </c>
      <c r="D8" s="111" t="s">
        <v>181</v>
      </c>
    </row>
    <row r="9" spans="2:12">
      <c r="B9" s="111" t="s">
        <v>182</v>
      </c>
      <c r="D9" s="111" t="s">
        <v>183</v>
      </c>
    </row>
    <row r="10" spans="2:12">
      <c r="B10" s="111" t="s">
        <v>184</v>
      </c>
      <c r="D10" s="111" t="s">
        <v>185</v>
      </c>
    </row>
    <row r="11" spans="2:12">
      <c r="B11" s="111" t="s">
        <v>186</v>
      </c>
      <c r="D11" s="111" t="s">
        <v>187</v>
      </c>
    </row>
    <row r="12" spans="2:12">
      <c r="B12" s="111" t="s">
        <v>188</v>
      </c>
      <c r="D12" s="111" t="s">
        <v>189</v>
      </c>
    </row>
    <row r="13" spans="2:12">
      <c r="B13" s="111" t="s">
        <v>190</v>
      </c>
      <c r="D13" s="111" t="s">
        <v>191</v>
      </c>
    </row>
    <row r="14" spans="2:12">
      <c r="B14" s="111" t="s">
        <v>192</v>
      </c>
      <c r="D14" s="111"/>
    </row>
    <row r="15" spans="2:12">
      <c r="B15" s="111" t="s">
        <v>193</v>
      </c>
      <c r="D15" s="111" t="s">
        <v>194</v>
      </c>
    </row>
    <row r="16" spans="2:12">
      <c r="B16" s="111" t="s">
        <v>195</v>
      </c>
      <c r="D16" s="111" t="s">
        <v>196</v>
      </c>
    </row>
    <row r="17" spans="2:2">
      <c r="B17" s="111" t="s">
        <v>197</v>
      </c>
    </row>
    <row r="18" spans="2:2">
      <c r="B18" s="111" t="s">
        <v>198</v>
      </c>
    </row>
    <row r="19" spans="2:2">
      <c r="B19" s="111" t="s">
        <v>199</v>
      </c>
    </row>
    <row r="20" spans="2:2">
      <c r="B20" s="111" t="s">
        <v>200</v>
      </c>
    </row>
    <row r="21" spans="2:2">
      <c r="B21" s="111" t="s">
        <v>201</v>
      </c>
    </row>
    <row r="22" spans="2:2">
      <c r="B22" s="111" t="s">
        <v>202</v>
      </c>
    </row>
    <row r="23" spans="2:2">
      <c r="B23" s="111" t="s">
        <v>203</v>
      </c>
    </row>
    <row r="24" spans="2:2">
      <c r="B24" s="111" t="s">
        <v>204</v>
      </c>
    </row>
    <row r="25" spans="2:2">
      <c r="B25" s="111" t="s">
        <v>205</v>
      </c>
    </row>
    <row r="26" spans="2:2">
      <c r="B26" s="111" t="s">
        <v>206</v>
      </c>
    </row>
    <row r="27" spans="2:2">
      <c r="B27" s="111" t="s">
        <v>207</v>
      </c>
    </row>
    <row r="28" spans="2:2">
      <c r="B28" s="111" t="s">
        <v>208</v>
      </c>
    </row>
    <row r="29" spans="2:2">
      <c r="B29" s="111" t="s">
        <v>209</v>
      </c>
    </row>
    <row r="30" spans="2:2">
      <c r="B30" s="111" t="s">
        <v>210</v>
      </c>
    </row>
    <row r="31" spans="2:2">
      <c r="B31" s="111" t="s">
        <v>211</v>
      </c>
    </row>
    <row r="32" spans="2:2">
      <c r="B32" s="111" t="s">
        <v>212</v>
      </c>
    </row>
    <row r="33" spans="2:2">
      <c r="B33" s="111" t="s">
        <v>213</v>
      </c>
    </row>
    <row r="34" spans="2:2">
      <c r="B34" s="111" t="s">
        <v>214</v>
      </c>
    </row>
    <row r="35" spans="2:2">
      <c r="B35" s="111" t="s">
        <v>215</v>
      </c>
    </row>
    <row r="36" spans="2:2">
      <c r="B36" s="111" t="s">
        <v>216</v>
      </c>
    </row>
    <row r="37" spans="2:2">
      <c r="B37" s="111" t="s">
        <v>217</v>
      </c>
    </row>
    <row r="38" spans="2:2">
      <c r="B38" s="111" t="s">
        <v>218</v>
      </c>
    </row>
    <row r="39" spans="2:2">
      <c r="B39" s="111" t="s">
        <v>219</v>
      </c>
    </row>
    <row r="40" spans="2:2">
      <c r="B40" s="111" t="s">
        <v>220</v>
      </c>
    </row>
    <row r="41" spans="2:2">
      <c r="B41" s="111" t="s">
        <v>221</v>
      </c>
    </row>
    <row r="42" spans="2:2">
      <c r="B42" s="111" t="s">
        <v>222</v>
      </c>
    </row>
    <row r="43" spans="2:2">
      <c r="B43" s="111" t="s">
        <v>223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7"/>
  <sheetViews>
    <sheetView zoomScaleNormal="100" workbookViewId="0">
      <selection activeCell="A24" sqref="A24"/>
    </sheetView>
  </sheetViews>
  <sheetFormatPr defaultRowHeight="15"/>
  <cols>
    <col min="1" max="1" width="67.28515625" customWidth="1"/>
    <col min="2" max="2" width="19.140625" customWidth="1"/>
    <col min="3" max="3" width="18" customWidth="1"/>
    <col min="4" max="4" width="37.7109375" customWidth="1"/>
    <col min="5" max="5" width="27.85546875" customWidth="1"/>
    <col min="6" max="7" width="19.85546875" customWidth="1"/>
    <col min="8" max="8" width="41.5703125" customWidth="1"/>
    <col min="9" max="9" width="17.7109375" customWidth="1"/>
    <col min="10" max="10" width="53" customWidth="1"/>
    <col min="11" max="11" width="53.85546875" customWidth="1"/>
    <col min="12" max="12" width="25.85546875" customWidth="1"/>
    <col min="13" max="13" width="17.28515625" customWidth="1"/>
    <col min="14" max="14" width="14.5703125" customWidth="1"/>
    <col min="15" max="15" width="81.140625" customWidth="1"/>
  </cols>
  <sheetData>
    <row r="1" spans="1:15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</row>
    <row r="2" spans="1:15">
      <c r="A2" t="s">
        <v>239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240</v>
      </c>
      <c r="O2" t="s">
        <v>241</v>
      </c>
    </row>
    <row r="3" spans="1:15">
      <c r="A3" t="s">
        <v>242</v>
      </c>
      <c r="B3" t="s">
        <v>243</v>
      </c>
      <c r="C3" t="s">
        <v>244</v>
      </c>
      <c r="D3" t="s">
        <v>245</v>
      </c>
      <c r="E3" t="s">
        <v>246</v>
      </c>
      <c r="F3" t="s">
        <v>247</v>
      </c>
      <c r="G3" t="s">
        <v>248</v>
      </c>
      <c r="H3" t="s">
        <v>249</v>
      </c>
      <c r="I3" t="s">
        <v>250</v>
      </c>
      <c r="J3" t="s">
        <v>251</v>
      </c>
      <c r="K3" t="s">
        <v>252</v>
      </c>
      <c r="L3" t="s">
        <v>253</v>
      </c>
      <c r="M3" t="s">
        <v>62</v>
      </c>
      <c r="N3" t="s">
        <v>254</v>
      </c>
      <c r="O3" t="s">
        <v>255</v>
      </c>
    </row>
    <row r="4" spans="1:15">
      <c r="A4" t="s">
        <v>256</v>
      </c>
      <c r="B4" t="s">
        <v>257</v>
      </c>
      <c r="C4" t="s">
        <v>258</v>
      </c>
      <c r="D4" t="s">
        <v>86</v>
      </c>
      <c r="E4" t="s">
        <v>69</v>
      </c>
      <c r="F4" t="s">
        <v>259</v>
      </c>
      <c r="H4" t="s">
        <v>260</v>
      </c>
      <c r="I4" t="s">
        <v>79</v>
      </c>
      <c r="J4" t="s">
        <v>261</v>
      </c>
      <c r="K4" t="s">
        <v>71</v>
      </c>
      <c r="L4" t="s">
        <v>66</v>
      </c>
      <c r="M4" t="s">
        <v>62</v>
      </c>
      <c r="N4" t="s">
        <v>262</v>
      </c>
      <c r="O4" t="s">
        <v>263</v>
      </c>
    </row>
    <row r="5" spans="1:15">
      <c r="A5" t="s">
        <v>29</v>
      </c>
      <c r="B5" t="s">
        <v>31</v>
      </c>
      <c r="C5" t="s">
        <v>264</v>
      </c>
      <c r="D5" t="s">
        <v>86</v>
      </c>
      <c r="E5" t="s">
        <v>69</v>
      </c>
      <c r="F5" t="s">
        <v>259</v>
      </c>
      <c r="H5" t="s">
        <v>260</v>
      </c>
      <c r="I5" t="s">
        <v>79</v>
      </c>
      <c r="J5" t="s">
        <v>261</v>
      </c>
      <c r="K5" t="s">
        <v>71</v>
      </c>
      <c r="L5" t="s">
        <v>66</v>
      </c>
      <c r="M5" t="s">
        <v>62</v>
      </c>
      <c r="N5" t="s">
        <v>262</v>
      </c>
      <c r="O5" t="s">
        <v>263</v>
      </c>
    </row>
    <row r="6" spans="1:15">
      <c r="A6" t="s">
        <v>265</v>
      </c>
      <c r="B6" t="s">
        <v>266</v>
      </c>
      <c r="C6" t="s">
        <v>267</v>
      </c>
      <c r="D6" t="s">
        <v>268</v>
      </c>
      <c r="E6" t="s">
        <v>269</v>
      </c>
      <c r="F6" t="s">
        <v>270</v>
      </c>
      <c r="G6" t="s">
        <v>271</v>
      </c>
      <c r="H6" t="s">
        <v>272</v>
      </c>
      <c r="I6" t="s">
        <v>273</v>
      </c>
      <c r="J6" t="s">
        <v>274</v>
      </c>
      <c r="K6" t="s">
        <v>275</v>
      </c>
      <c r="L6" t="s">
        <v>276</v>
      </c>
      <c r="M6" t="s">
        <v>277</v>
      </c>
      <c r="N6" t="s">
        <v>278</v>
      </c>
      <c r="O6" t="s">
        <v>279</v>
      </c>
    </row>
    <row r="7" spans="1:15">
      <c r="A7" t="s">
        <v>280</v>
      </c>
      <c r="B7" t="s">
        <v>281</v>
      </c>
      <c r="C7" t="s">
        <v>282</v>
      </c>
      <c r="D7" t="s">
        <v>283</v>
      </c>
      <c r="E7" t="s">
        <v>284</v>
      </c>
      <c r="F7" t="s">
        <v>285</v>
      </c>
      <c r="G7" t="s">
        <v>286</v>
      </c>
      <c r="H7" t="s">
        <v>287</v>
      </c>
      <c r="I7" t="s">
        <v>288</v>
      </c>
      <c r="J7" t="s">
        <v>289</v>
      </c>
      <c r="K7" t="s">
        <v>290</v>
      </c>
      <c r="L7" t="s">
        <v>291</v>
      </c>
      <c r="M7" t="s">
        <v>45</v>
      </c>
      <c r="N7" t="s">
        <v>292</v>
      </c>
      <c r="O7" t="s">
        <v>293</v>
      </c>
    </row>
    <row r="8" spans="1:15">
      <c r="A8" t="s">
        <v>294</v>
      </c>
      <c r="B8" t="s">
        <v>295</v>
      </c>
      <c r="C8" t="s">
        <v>296</v>
      </c>
      <c r="D8" t="s">
        <v>297</v>
      </c>
      <c r="F8" t="s">
        <v>298</v>
      </c>
      <c r="G8" t="s">
        <v>299</v>
      </c>
      <c r="H8" t="s">
        <v>300</v>
      </c>
      <c r="I8" t="s">
        <v>301</v>
      </c>
      <c r="J8" t="s">
        <v>274</v>
      </c>
      <c r="K8" t="s">
        <v>302</v>
      </c>
      <c r="L8" t="s">
        <v>291</v>
      </c>
      <c r="M8" t="s">
        <v>45</v>
      </c>
      <c r="N8" t="s">
        <v>303</v>
      </c>
      <c r="O8" t="s">
        <v>304</v>
      </c>
    </row>
    <row r="9" spans="1:15">
      <c r="A9" t="s">
        <v>305</v>
      </c>
      <c r="B9" t="s">
        <v>306</v>
      </c>
      <c r="C9" t="s">
        <v>307</v>
      </c>
      <c r="D9" t="s">
        <v>308</v>
      </c>
      <c r="E9" t="s">
        <v>309</v>
      </c>
      <c r="F9" t="s">
        <v>310</v>
      </c>
      <c r="G9" t="s">
        <v>311</v>
      </c>
      <c r="H9" t="s">
        <v>312</v>
      </c>
      <c r="I9" t="s">
        <v>313</v>
      </c>
      <c r="J9" t="s">
        <v>314</v>
      </c>
      <c r="K9" t="s">
        <v>315</v>
      </c>
      <c r="L9" t="s">
        <v>316</v>
      </c>
      <c r="M9" t="s">
        <v>62</v>
      </c>
      <c r="N9" t="s">
        <v>317</v>
      </c>
      <c r="O9" t="s">
        <v>318</v>
      </c>
    </row>
    <row r="10" spans="1:15">
      <c r="A10" t="s">
        <v>319</v>
      </c>
      <c r="B10" t="s">
        <v>320</v>
      </c>
      <c r="C10" t="s">
        <v>321</v>
      </c>
      <c r="D10" t="s">
        <v>322</v>
      </c>
      <c r="E10" t="s">
        <v>323</v>
      </c>
      <c r="F10" t="s">
        <v>324</v>
      </c>
      <c r="H10" t="s">
        <v>325</v>
      </c>
      <c r="I10" t="s">
        <v>326</v>
      </c>
      <c r="J10" t="s">
        <v>327</v>
      </c>
      <c r="K10" t="s">
        <v>328</v>
      </c>
      <c r="L10" t="s">
        <v>329</v>
      </c>
      <c r="M10" t="s">
        <v>45</v>
      </c>
      <c r="N10" t="s">
        <v>330</v>
      </c>
      <c r="O10" t="s">
        <v>331</v>
      </c>
    </row>
    <row r="11" spans="1:15">
      <c r="A11" t="s">
        <v>332</v>
      </c>
      <c r="B11" t="s">
        <v>333</v>
      </c>
      <c r="C11" t="s">
        <v>334</v>
      </c>
      <c r="D11" t="s">
        <v>335</v>
      </c>
      <c r="F11" t="s">
        <v>336</v>
      </c>
      <c r="G11" t="s">
        <v>337</v>
      </c>
      <c r="H11" t="s">
        <v>338</v>
      </c>
      <c r="I11" t="s">
        <v>339</v>
      </c>
      <c r="J11" t="s">
        <v>340</v>
      </c>
      <c r="K11" t="s">
        <v>341</v>
      </c>
      <c r="L11" t="s">
        <v>291</v>
      </c>
      <c r="M11" t="s">
        <v>45</v>
      </c>
      <c r="N11" t="s">
        <v>342</v>
      </c>
      <c r="O11" t="s">
        <v>343</v>
      </c>
    </row>
    <row r="12" spans="1:15">
      <c r="A12" t="s">
        <v>344</v>
      </c>
      <c r="B12" t="s">
        <v>345</v>
      </c>
      <c r="C12" t="s">
        <v>346</v>
      </c>
      <c r="D12" t="s">
        <v>347</v>
      </c>
      <c r="E12" t="s">
        <v>348</v>
      </c>
      <c r="F12" t="s">
        <v>349</v>
      </c>
      <c r="H12" t="s">
        <v>350</v>
      </c>
      <c r="I12" t="s">
        <v>351</v>
      </c>
      <c r="J12" t="s">
        <v>352</v>
      </c>
      <c r="K12" t="s">
        <v>353</v>
      </c>
      <c r="L12" t="s">
        <v>66</v>
      </c>
      <c r="M12" t="s">
        <v>62</v>
      </c>
      <c r="N12" t="s">
        <v>354</v>
      </c>
      <c r="O12" t="s">
        <v>355</v>
      </c>
    </row>
    <row r="13" spans="1:15">
      <c r="A13" t="s">
        <v>356</v>
      </c>
      <c r="B13" t="s">
        <v>357</v>
      </c>
      <c r="C13" t="s">
        <v>358</v>
      </c>
      <c r="D13" t="s">
        <v>347</v>
      </c>
      <c r="E13" t="s">
        <v>348</v>
      </c>
      <c r="F13" t="s">
        <v>349</v>
      </c>
      <c r="H13" t="s">
        <v>350</v>
      </c>
      <c r="I13" t="s">
        <v>351</v>
      </c>
      <c r="J13" t="s">
        <v>352</v>
      </c>
      <c r="K13" t="s">
        <v>353</v>
      </c>
      <c r="L13" t="s">
        <v>66</v>
      </c>
      <c r="M13" t="s">
        <v>62</v>
      </c>
      <c r="N13" t="s">
        <v>354</v>
      </c>
      <c r="O13" t="s">
        <v>355</v>
      </c>
    </row>
    <row r="14" spans="1:15">
      <c r="A14" t="s">
        <v>359</v>
      </c>
      <c r="B14" t="s">
        <v>360</v>
      </c>
      <c r="C14" t="s">
        <v>361</v>
      </c>
      <c r="D14" t="s">
        <v>347</v>
      </c>
      <c r="E14" t="s">
        <v>348</v>
      </c>
      <c r="F14" t="s">
        <v>349</v>
      </c>
      <c r="H14" t="s">
        <v>362</v>
      </c>
      <c r="I14" t="s">
        <v>363</v>
      </c>
      <c r="J14" t="s">
        <v>364</v>
      </c>
      <c r="K14" t="s">
        <v>365</v>
      </c>
      <c r="L14" t="s">
        <v>366</v>
      </c>
      <c r="M14" t="s">
        <v>45</v>
      </c>
      <c r="N14" t="s">
        <v>367</v>
      </c>
      <c r="O14" t="s">
        <v>368</v>
      </c>
    </row>
    <row r="15" spans="1:15">
      <c r="A15" t="s">
        <v>369</v>
      </c>
      <c r="B15" t="s">
        <v>370</v>
      </c>
      <c r="C15" t="s">
        <v>371</v>
      </c>
      <c r="D15" t="s">
        <v>347</v>
      </c>
      <c r="E15" t="s">
        <v>348</v>
      </c>
      <c r="F15" t="s">
        <v>349</v>
      </c>
      <c r="H15" t="s">
        <v>372</v>
      </c>
      <c r="I15" t="s">
        <v>373</v>
      </c>
      <c r="J15" t="s">
        <v>374</v>
      </c>
      <c r="K15" t="s">
        <v>375</v>
      </c>
      <c r="L15" t="s">
        <v>32</v>
      </c>
      <c r="M15" t="s">
        <v>45</v>
      </c>
      <c r="N15" t="s">
        <v>376</v>
      </c>
      <c r="O15" t="s">
        <v>377</v>
      </c>
    </row>
    <row r="16" spans="1:15">
      <c r="A16" t="s">
        <v>378</v>
      </c>
      <c r="B16" t="s">
        <v>379</v>
      </c>
      <c r="C16" t="s">
        <v>380</v>
      </c>
      <c r="D16" t="s">
        <v>347</v>
      </c>
      <c r="E16" t="s">
        <v>348</v>
      </c>
      <c r="F16" t="s">
        <v>349</v>
      </c>
      <c r="G16" t="s">
        <v>381</v>
      </c>
      <c r="H16" t="s">
        <v>372</v>
      </c>
      <c r="I16" t="s">
        <v>373</v>
      </c>
      <c r="J16" t="s">
        <v>374</v>
      </c>
      <c r="K16" t="s">
        <v>375</v>
      </c>
      <c r="L16" t="s">
        <v>32</v>
      </c>
      <c r="M16" t="s">
        <v>45</v>
      </c>
      <c r="N16" t="s">
        <v>376</v>
      </c>
      <c r="O16" t="s">
        <v>377</v>
      </c>
    </row>
    <row r="17" spans="1:15">
      <c r="A17" t="s">
        <v>35</v>
      </c>
      <c r="B17" t="s">
        <v>36</v>
      </c>
      <c r="C17" t="s">
        <v>382</v>
      </c>
      <c r="D17" t="s">
        <v>38</v>
      </c>
      <c r="E17" t="s">
        <v>383</v>
      </c>
      <c r="F17" t="s">
        <v>384</v>
      </c>
      <c r="G17" t="s">
        <v>385</v>
      </c>
      <c r="H17" t="s">
        <v>41</v>
      </c>
      <c r="I17" t="s">
        <v>81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386</v>
      </c>
    </row>
    <row r="18" spans="1:15">
      <c r="A18" t="s">
        <v>387</v>
      </c>
      <c r="B18" t="s">
        <v>388</v>
      </c>
      <c r="C18" t="s">
        <v>389</v>
      </c>
      <c r="D18" t="s">
        <v>38</v>
      </c>
      <c r="E18" t="s">
        <v>383</v>
      </c>
      <c r="F18" t="s">
        <v>384</v>
      </c>
      <c r="G18" t="s">
        <v>385</v>
      </c>
      <c r="H18" t="s">
        <v>390</v>
      </c>
      <c r="I18" t="s">
        <v>391</v>
      </c>
      <c r="J18" t="s">
        <v>392</v>
      </c>
      <c r="K18" t="s">
        <v>393</v>
      </c>
      <c r="L18" t="s">
        <v>329</v>
      </c>
      <c r="M18" t="s">
        <v>45</v>
      </c>
      <c r="N18" t="s">
        <v>394</v>
      </c>
      <c r="O18" t="s">
        <v>395</v>
      </c>
    </row>
    <row r="19" spans="1:15">
      <c r="A19" t="s">
        <v>396</v>
      </c>
      <c r="B19" t="s">
        <v>397</v>
      </c>
      <c r="C19" t="s">
        <v>57</v>
      </c>
      <c r="D19" t="s">
        <v>38</v>
      </c>
      <c r="E19" t="s">
        <v>383</v>
      </c>
      <c r="F19" t="s">
        <v>384</v>
      </c>
      <c r="G19" t="s">
        <v>385</v>
      </c>
      <c r="H19" t="s">
        <v>398</v>
      </c>
      <c r="I19" t="s">
        <v>399</v>
      </c>
      <c r="J19" t="s">
        <v>400</v>
      </c>
      <c r="K19" t="s">
        <v>401</v>
      </c>
      <c r="L19" t="s">
        <v>402</v>
      </c>
      <c r="M19" t="s">
        <v>62</v>
      </c>
      <c r="N19" t="s">
        <v>57</v>
      </c>
      <c r="O19" t="s">
        <v>403</v>
      </c>
    </row>
    <row r="20" spans="1:15">
      <c r="A20" t="s">
        <v>404</v>
      </c>
      <c r="B20" t="s">
        <v>405</v>
      </c>
      <c r="C20" t="s">
        <v>406</v>
      </c>
      <c r="D20" t="s">
        <v>38</v>
      </c>
      <c r="E20" t="s">
        <v>383</v>
      </c>
      <c r="F20" t="s">
        <v>384</v>
      </c>
      <c r="G20" t="s">
        <v>385</v>
      </c>
      <c r="H20" t="s">
        <v>407</v>
      </c>
      <c r="I20" t="s">
        <v>408</v>
      </c>
      <c r="J20" t="s">
        <v>409</v>
      </c>
      <c r="K20" t="s">
        <v>410</v>
      </c>
      <c r="L20" t="s">
        <v>32</v>
      </c>
      <c r="M20" t="s">
        <v>45</v>
      </c>
      <c r="N20" t="s">
        <v>46</v>
      </c>
      <c r="O20" t="s">
        <v>411</v>
      </c>
    </row>
    <row r="21" spans="1:15">
      <c r="A21" t="s">
        <v>412</v>
      </c>
      <c r="B21" t="s">
        <v>413</v>
      </c>
      <c r="C21" t="s">
        <v>414</v>
      </c>
      <c r="D21" t="s">
        <v>415</v>
      </c>
      <c r="E21" t="s">
        <v>416</v>
      </c>
      <c r="F21" t="s">
        <v>417</v>
      </c>
      <c r="G21" t="s">
        <v>418</v>
      </c>
      <c r="H21" t="s">
        <v>419</v>
      </c>
      <c r="I21" t="s">
        <v>420</v>
      </c>
      <c r="J21" t="s">
        <v>274</v>
      </c>
      <c r="K21" t="s">
        <v>421</v>
      </c>
      <c r="L21" t="s">
        <v>422</v>
      </c>
      <c r="M21" t="s">
        <v>45</v>
      </c>
      <c r="N21" t="s">
        <v>423</v>
      </c>
      <c r="O21" t="s">
        <v>424</v>
      </c>
    </row>
    <row r="22" spans="1:15">
      <c r="A22" t="s">
        <v>425</v>
      </c>
      <c r="B22" t="s">
        <v>426</v>
      </c>
      <c r="C22" t="s">
        <v>427</v>
      </c>
      <c r="D22" t="s">
        <v>428</v>
      </c>
      <c r="E22" t="s">
        <v>429</v>
      </c>
      <c r="F22" t="s">
        <v>430</v>
      </c>
      <c r="H22" t="s">
        <v>431</v>
      </c>
      <c r="I22" t="s">
        <v>432</v>
      </c>
      <c r="J22" t="s">
        <v>433</v>
      </c>
      <c r="K22" t="s">
        <v>434</v>
      </c>
      <c r="L22" t="s">
        <v>435</v>
      </c>
      <c r="M22" t="s">
        <v>45</v>
      </c>
      <c r="N22" t="s">
        <v>436</v>
      </c>
      <c r="O22" t="s">
        <v>437</v>
      </c>
    </row>
    <row r="23" spans="1:15">
      <c r="A23" t="s">
        <v>438</v>
      </c>
      <c r="B23" t="s">
        <v>439</v>
      </c>
      <c r="C23" t="s">
        <v>440</v>
      </c>
      <c r="D23" t="s">
        <v>441</v>
      </c>
      <c r="E23" t="s">
        <v>442</v>
      </c>
      <c r="F23" t="s">
        <v>443</v>
      </c>
      <c r="G23" t="s">
        <v>444</v>
      </c>
      <c r="H23" t="s">
        <v>445</v>
      </c>
      <c r="I23" t="s">
        <v>446</v>
      </c>
      <c r="J23" t="s">
        <v>447</v>
      </c>
      <c r="K23" t="s">
        <v>448</v>
      </c>
      <c r="L23" t="s">
        <v>329</v>
      </c>
      <c r="M23" t="s">
        <v>45</v>
      </c>
      <c r="N23" t="s">
        <v>449</v>
      </c>
      <c r="O23" t="s">
        <v>450</v>
      </c>
    </row>
    <row r="24" spans="1:15">
      <c r="A24" t="s">
        <v>451</v>
      </c>
      <c r="B24" t="s">
        <v>452</v>
      </c>
      <c r="C24" t="s">
        <v>453</v>
      </c>
      <c r="D24" t="s">
        <v>454</v>
      </c>
      <c r="E24" t="s">
        <v>455</v>
      </c>
      <c r="G24" t="s">
        <v>456</v>
      </c>
      <c r="H24" t="s">
        <v>457</v>
      </c>
      <c r="I24" t="s">
        <v>458</v>
      </c>
      <c r="J24" t="s">
        <v>274</v>
      </c>
      <c r="K24" t="s">
        <v>459</v>
      </c>
      <c r="L24" t="s">
        <v>44</v>
      </c>
      <c r="M24" t="s">
        <v>45</v>
      </c>
      <c r="N24" t="s">
        <v>460</v>
      </c>
      <c r="O24" t="s">
        <v>461</v>
      </c>
    </row>
    <row r="25" spans="1:15">
      <c r="A25" t="s">
        <v>462</v>
      </c>
      <c r="B25" t="s">
        <v>463</v>
      </c>
      <c r="C25" t="s">
        <v>464</v>
      </c>
      <c r="D25" t="s">
        <v>465</v>
      </c>
      <c r="E25" t="s">
        <v>466</v>
      </c>
      <c r="F25" t="s">
        <v>467</v>
      </c>
      <c r="G25" t="s">
        <v>468</v>
      </c>
      <c r="H25" t="s">
        <v>469</v>
      </c>
      <c r="I25" t="s">
        <v>470</v>
      </c>
      <c r="J25" t="s">
        <v>471</v>
      </c>
      <c r="K25" t="s">
        <v>472</v>
      </c>
      <c r="L25" t="s">
        <v>329</v>
      </c>
      <c r="M25" t="s">
        <v>45</v>
      </c>
      <c r="N25" t="s">
        <v>473</v>
      </c>
      <c r="O25" t="s">
        <v>474</v>
      </c>
    </row>
    <row r="26" spans="1:15">
      <c r="A26" t="s">
        <v>475</v>
      </c>
      <c r="B26" t="s">
        <v>476</v>
      </c>
      <c r="C26" t="s">
        <v>477</v>
      </c>
      <c r="D26" t="s">
        <v>478</v>
      </c>
      <c r="E26" t="s">
        <v>479</v>
      </c>
      <c r="F26" t="s">
        <v>480</v>
      </c>
      <c r="G26" t="s">
        <v>481</v>
      </c>
      <c r="H26" t="s">
        <v>482</v>
      </c>
      <c r="I26" t="s">
        <v>483</v>
      </c>
      <c r="J26" t="s">
        <v>484</v>
      </c>
      <c r="K26" t="s">
        <v>485</v>
      </c>
      <c r="L26" t="s">
        <v>291</v>
      </c>
      <c r="M26" t="s">
        <v>45</v>
      </c>
      <c r="N26" t="s">
        <v>486</v>
      </c>
      <c r="O26" t="s">
        <v>487</v>
      </c>
    </row>
    <row r="27" spans="1:15">
      <c r="A27" t="s">
        <v>488</v>
      </c>
      <c r="B27" t="s">
        <v>489</v>
      </c>
      <c r="C27" t="s">
        <v>490</v>
      </c>
      <c r="D27" t="s">
        <v>491</v>
      </c>
      <c r="E27" t="s">
        <v>492</v>
      </c>
      <c r="F27" t="s">
        <v>493</v>
      </c>
      <c r="G27" t="s">
        <v>494</v>
      </c>
      <c r="H27" t="s">
        <v>495</v>
      </c>
      <c r="I27" t="s">
        <v>496</v>
      </c>
      <c r="J27" t="s">
        <v>497</v>
      </c>
      <c r="K27" t="s">
        <v>290</v>
      </c>
      <c r="L27" t="s">
        <v>329</v>
      </c>
      <c r="M27" t="s">
        <v>45</v>
      </c>
      <c r="N27" t="s">
        <v>498</v>
      </c>
      <c r="O27" t="s">
        <v>499</v>
      </c>
    </row>
    <row r="28" spans="1:15">
      <c r="A28" t="s">
        <v>500</v>
      </c>
      <c r="B28" t="s">
        <v>501</v>
      </c>
      <c r="C28" t="s">
        <v>502</v>
      </c>
      <c r="D28" t="s">
        <v>503</v>
      </c>
      <c r="E28" t="s">
        <v>504</v>
      </c>
      <c r="G28" t="s">
        <v>505</v>
      </c>
      <c r="H28" t="s">
        <v>506</v>
      </c>
      <c r="I28" t="s">
        <v>507</v>
      </c>
      <c r="K28" t="s">
        <v>508</v>
      </c>
      <c r="L28" t="s">
        <v>509</v>
      </c>
      <c r="M28" t="s">
        <v>510</v>
      </c>
      <c r="N28" t="s">
        <v>511</v>
      </c>
      <c r="O28" t="s">
        <v>512</v>
      </c>
    </row>
    <row r="29" spans="1:15">
      <c r="A29" t="s">
        <v>513</v>
      </c>
      <c r="B29" t="s">
        <v>514</v>
      </c>
      <c r="C29" t="s">
        <v>515</v>
      </c>
      <c r="D29" t="s">
        <v>516</v>
      </c>
      <c r="E29" t="s">
        <v>517</v>
      </c>
      <c r="F29" t="s">
        <v>518</v>
      </c>
      <c r="G29" t="s">
        <v>519</v>
      </c>
      <c r="H29" t="s">
        <v>520</v>
      </c>
      <c r="I29" t="s">
        <v>351</v>
      </c>
      <c r="J29" t="s">
        <v>521</v>
      </c>
      <c r="K29" t="s">
        <v>522</v>
      </c>
      <c r="L29" t="s">
        <v>66</v>
      </c>
      <c r="M29" t="s">
        <v>62</v>
      </c>
      <c r="N29" t="s">
        <v>523</v>
      </c>
      <c r="O29" t="s">
        <v>524</v>
      </c>
    </row>
    <row r="30" spans="1:15">
      <c r="A30" t="s">
        <v>525</v>
      </c>
      <c r="B30" t="s">
        <v>526</v>
      </c>
      <c r="C30" t="s">
        <v>527</v>
      </c>
      <c r="D30" t="s">
        <v>516</v>
      </c>
      <c r="E30" t="s">
        <v>517</v>
      </c>
      <c r="F30" t="s">
        <v>518</v>
      </c>
      <c r="G30" t="s">
        <v>519</v>
      </c>
      <c r="H30" t="s">
        <v>528</v>
      </c>
      <c r="I30" t="s">
        <v>529</v>
      </c>
      <c r="J30" t="s">
        <v>530</v>
      </c>
      <c r="K30" t="s">
        <v>531</v>
      </c>
      <c r="L30" t="s">
        <v>532</v>
      </c>
      <c r="M30" t="s">
        <v>533</v>
      </c>
      <c r="N30" t="s">
        <v>534</v>
      </c>
      <c r="O30" t="s">
        <v>535</v>
      </c>
    </row>
    <row r="31" spans="1:15">
      <c r="A31" t="s">
        <v>536</v>
      </c>
      <c r="B31" t="s">
        <v>537</v>
      </c>
      <c r="C31" t="s">
        <v>538</v>
      </c>
      <c r="D31" t="s">
        <v>516</v>
      </c>
      <c r="E31" t="s">
        <v>517</v>
      </c>
      <c r="F31" t="s">
        <v>518</v>
      </c>
      <c r="G31" t="s">
        <v>519</v>
      </c>
      <c r="H31" t="s">
        <v>539</v>
      </c>
      <c r="I31" t="s">
        <v>540</v>
      </c>
      <c r="J31" t="s">
        <v>541</v>
      </c>
      <c r="K31" t="s">
        <v>542</v>
      </c>
      <c r="L31" t="s">
        <v>543</v>
      </c>
      <c r="M31" t="s">
        <v>544</v>
      </c>
      <c r="N31" t="s">
        <v>545</v>
      </c>
      <c r="O31" t="s">
        <v>546</v>
      </c>
    </row>
    <row r="32" spans="1:15">
      <c r="A32" t="s">
        <v>547</v>
      </c>
      <c r="B32" t="s">
        <v>548</v>
      </c>
      <c r="C32" t="s">
        <v>549</v>
      </c>
      <c r="D32" t="s">
        <v>516</v>
      </c>
      <c r="E32" t="s">
        <v>517</v>
      </c>
      <c r="F32" t="s">
        <v>518</v>
      </c>
      <c r="G32" t="s">
        <v>519</v>
      </c>
      <c r="H32" t="s">
        <v>550</v>
      </c>
      <c r="I32" t="s">
        <v>551</v>
      </c>
      <c r="J32" t="s">
        <v>552</v>
      </c>
      <c r="K32" t="s">
        <v>553</v>
      </c>
      <c r="L32" t="s">
        <v>554</v>
      </c>
      <c r="M32" t="s">
        <v>555</v>
      </c>
      <c r="N32" t="s">
        <v>556</v>
      </c>
      <c r="O32" t="s">
        <v>557</v>
      </c>
    </row>
    <row r="33" spans="1:15">
      <c r="A33" t="s">
        <v>558</v>
      </c>
      <c r="B33" t="s">
        <v>559</v>
      </c>
      <c r="C33" t="s">
        <v>560</v>
      </c>
      <c r="D33" t="s">
        <v>516</v>
      </c>
      <c r="E33" t="s">
        <v>517</v>
      </c>
      <c r="F33" t="s">
        <v>518</v>
      </c>
      <c r="G33" t="s">
        <v>519</v>
      </c>
      <c r="H33" t="s">
        <v>561</v>
      </c>
      <c r="I33" t="s">
        <v>562</v>
      </c>
      <c r="J33" t="s">
        <v>563</v>
      </c>
      <c r="K33" t="s">
        <v>564</v>
      </c>
      <c r="L33" t="s">
        <v>565</v>
      </c>
      <c r="M33" t="s">
        <v>45</v>
      </c>
      <c r="N33" t="s">
        <v>566</v>
      </c>
      <c r="O33" t="s">
        <v>567</v>
      </c>
    </row>
    <row r="34" spans="1:15">
      <c r="A34" t="s">
        <v>568</v>
      </c>
      <c r="B34" t="s">
        <v>569</v>
      </c>
      <c r="C34" t="s">
        <v>570</v>
      </c>
      <c r="D34" t="s">
        <v>571</v>
      </c>
      <c r="E34" t="s">
        <v>572</v>
      </c>
      <c r="F34" t="s">
        <v>573</v>
      </c>
      <c r="G34" t="s">
        <v>574</v>
      </c>
      <c r="H34" t="s">
        <v>575</v>
      </c>
      <c r="I34" t="s">
        <v>576</v>
      </c>
      <c r="J34" t="s">
        <v>577</v>
      </c>
      <c r="K34" t="s">
        <v>578</v>
      </c>
      <c r="L34" t="s">
        <v>329</v>
      </c>
      <c r="M34" t="s">
        <v>45</v>
      </c>
      <c r="N34" t="s">
        <v>579</v>
      </c>
      <c r="O34" t="s">
        <v>580</v>
      </c>
    </row>
    <row r="35" spans="1:15">
      <c r="A35" t="s">
        <v>581</v>
      </c>
      <c r="B35" t="s">
        <v>582</v>
      </c>
      <c r="C35" t="s">
        <v>583</v>
      </c>
      <c r="D35" t="s">
        <v>584</v>
      </c>
      <c r="E35" t="s">
        <v>585</v>
      </c>
      <c r="F35" t="s">
        <v>586</v>
      </c>
      <c r="G35" t="s">
        <v>587</v>
      </c>
      <c r="H35" t="s">
        <v>588</v>
      </c>
      <c r="I35" t="s">
        <v>589</v>
      </c>
      <c r="J35" t="s">
        <v>590</v>
      </c>
      <c r="K35" t="s">
        <v>591</v>
      </c>
      <c r="L35" t="s">
        <v>329</v>
      </c>
      <c r="M35" t="s">
        <v>45</v>
      </c>
      <c r="N35" t="s">
        <v>592</v>
      </c>
      <c r="O35" t="s">
        <v>593</v>
      </c>
    </row>
    <row r="36" spans="1:15">
      <c r="A36" t="s">
        <v>594</v>
      </c>
      <c r="B36" t="s">
        <v>595</v>
      </c>
      <c r="C36" t="s">
        <v>596</v>
      </c>
      <c r="D36" t="s">
        <v>597</v>
      </c>
      <c r="E36" t="s">
        <v>598</v>
      </c>
      <c r="F36" t="s">
        <v>599</v>
      </c>
      <c r="H36" t="s">
        <v>600</v>
      </c>
      <c r="I36" t="s">
        <v>601</v>
      </c>
      <c r="J36" t="s">
        <v>602</v>
      </c>
      <c r="K36" t="s">
        <v>603</v>
      </c>
      <c r="L36" t="s">
        <v>329</v>
      </c>
      <c r="M36" t="s">
        <v>45</v>
      </c>
      <c r="N36" t="s">
        <v>604</v>
      </c>
      <c r="O36" t="s">
        <v>605</v>
      </c>
    </row>
    <row r="37" spans="1:15">
      <c r="A37" t="s">
        <v>606</v>
      </c>
      <c r="B37" t="s">
        <v>607</v>
      </c>
      <c r="C37" t="s">
        <v>608</v>
      </c>
      <c r="D37" t="s">
        <v>609</v>
      </c>
      <c r="E37" t="s">
        <v>610</v>
      </c>
      <c r="F37" t="s">
        <v>611</v>
      </c>
      <c r="H37" t="s">
        <v>612</v>
      </c>
      <c r="I37" t="s">
        <v>613</v>
      </c>
      <c r="K37" t="s">
        <v>614</v>
      </c>
      <c r="L37" t="s">
        <v>615</v>
      </c>
      <c r="M37" t="s">
        <v>45</v>
      </c>
      <c r="N37" t="s">
        <v>616</v>
      </c>
      <c r="O37" t="s">
        <v>617</v>
      </c>
    </row>
    <row r="38" spans="1:15">
      <c r="A38" t="s">
        <v>618</v>
      </c>
      <c r="B38" t="s">
        <v>619</v>
      </c>
      <c r="C38" t="s">
        <v>620</v>
      </c>
      <c r="D38" t="s">
        <v>621</v>
      </c>
      <c r="E38" t="s">
        <v>622</v>
      </c>
      <c r="F38" t="s">
        <v>623</v>
      </c>
      <c r="G38" t="s">
        <v>624</v>
      </c>
      <c r="H38" t="s">
        <v>625</v>
      </c>
      <c r="I38" t="s">
        <v>626</v>
      </c>
      <c r="J38" t="s">
        <v>627</v>
      </c>
      <c r="K38" t="s">
        <v>628</v>
      </c>
      <c r="L38" t="s">
        <v>629</v>
      </c>
      <c r="M38" t="s">
        <v>544</v>
      </c>
      <c r="N38" t="s">
        <v>630</v>
      </c>
      <c r="O38" t="s">
        <v>631</v>
      </c>
    </row>
    <row r="39" spans="1:15">
      <c r="A39" t="s">
        <v>632</v>
      </c>
      <c r="B39" t="s">
        <v>633</v>
      </c>
      <c r="C39" t="s">
        <v>634</v>
      </c>
      <c r="D39" t="s">
        <v>635</v>
      </c>
      <c r="E39" t="s">
        <v>636</v>
      </c>
      <c r="F39" t="s">
        <v>637</v>
      </c>
      <c r="G39" t="s">
        <v>638</v>
      </c>
      <c r="H39" t="s">
        <v>639</v>
      </c>
      <c r="I39" t="s">
        <v>640</v>
      </c>
      <c r="J39" t="s">
        <v>274</v>
      </c>
      <c r="K39" t="s">
        <v>641</v>
      </c>
      <c r="L39" t="s">
        <v>642</v>
      </c>
      <c r="M39" t="s">
        <v>45</v>
      </c>
      <c r="N39" t="s">
        <v>643</v>
      </c>
      <c r="O39" t="s">
        <v>644</v>
      </c>
    </row>
    <row r="40" spans="1:15">
      <c r="A40" t="s">
        <v>645</v>
      </c>
      <c r="B40" t="s">
        <v>646</v>
      </c>
      <c r="C40" t="s">
        <v>647</v>
      </c>
      <c r="D40" t="s">
        <v>648</v>
      </c>
      <c r="E40" t="s">
        <v>649</v>
      </c>
      <c r="F40" t="s">
        <v>650</v>
      </c>
      <c r="G40" t="s">
        <v>651</v>
      </c>
      <c r="H40" t="s">
        <v>652</v>
      </c>
      <c r="I40" t="s">
        <v>653</v>
      </c>
      <c r="J40" t="s">
        <v>654</v>
      </c>
      <c r="K40" t="s">
        <v>655</v>
      </c>
      <c r="L40" t="s">
        <v>656</v>
      </c>
      <c r="M40" t="s">
        <v>657</v>
      </c>
      <c r="N40" t="s">
        <v>658</v>
      </c>
      <c r="O40" t="s">
        <v>659</v>
      </c>
    </row>
    <row r="41" spans="1:15">
      <c r="A41" t="s">
        <v>660</v>
      </c>
      <c r="B41" t="s">
        <v>661</v>
      </c>
      <c r="C41" t="s">
        <v>662</v>
      </c>
      <c r="D41" t="s">
        <v>648</v>
      </c>
      <c r="E41" t="s">
        <v>649</v>
      </c>
      <c r="F41" t="s">
        <v>650</v>
      </c>
      <c r="G41" t="s">
        <v>651</v>
      </c>
      <c r="H41" t="s">
        <v>312</v>
      </c>
      <c r="I41" t="s">
        <v>432</v>
      </c>
      <c r="J41" t="s">
        <v>663</v>
      </c>
      <c r="K41" t="s">
        <v>664</v>
      </c>
      <c r="L41" t="s">
        <v>66</v>
      </c>
      <c r="M41" t="s">
        <v>62</v>
      </c>
      <c r="N41" t="s">
        <v>665</v>
      </c>
      <c r="O41" t="s">
        <v>666</v>
      </c>
    </row>
    <row r="42" spans="1:15">
      <c r="A42" t="s">
        <v>667</v>
      </c>
      <c r="B42" t="s">
        <v>668</v>
      </c>
      <c r="C42" t="s">
        <v>669</v>
      </c>
      <c r="D42" t="s">
        <v>670</v>
      </c>
      <c r="E42" t="s">
        <v>671</v>
      </c>
      <c r="F42" t="s">
        <v>672</v>
      </c>
      <c r="G42" t="s">
        <v>673</v>
      </c>
      <c r="H42" t="s">
        <v>674</v>
      </c>
      <c r="I42" t="s">
        <v>432</v>
      </c>
      <c r="J42" t="s">
        <v>675</v>
      </c>
      <c r="K42" t="s">
        <v>664</v>
      </c>
      <c r="L42" t="s">
        <v>66</v>
      </c>
      <c r="M42" t="s">
        <v>62</v>
      </c>
      <c r="N42" t="s">
        <v>676</v>
      </c>
      <c r="O42" t="s">
        <v>677</v>
      </c>
    </row>
    <row r="43" spans="1:15">
      <c r="A43" t="s">
        <v>678</v>
      </c>
      <c r="B43" t="s">
        <v>679</v>
      </c>
      <c r="C43" t="s">
        <v>680</v>
      </c>
      <c r="D43" t="s">
        <v>670</v>
      </c>
      <c r="E43" t="s">
        <v>671</v>
      </c>
      <c r="F43" t="s">
        <v>672</v>
      </c>
      <c r="G43" t="s">
        <v>673</v>
      </c>
      <c r="H43" t="s">
        <v>681</v>
      </c>
      <c r="I43" t="s">
        <v>682</v>
      </c>
      <c r="J43" t="s">
        <v>683</v>
      </c>
      <c r="K43" t="s">
        <v>684</v>
      </c>
      <c r="L43" t="s">
        <v>685</v>
      </c>
      <c r="M43" t="s">
        <v>686</v>
      </c>
      <c r="N43" t="s">
        <v>687</v>
      </c>
      <c r="O43" t="s">
        <v>688</v>
      </c>
    </row>
    <row r="44" spans="1:15">
      <c r="A44" t="s">
        <v>689</v>
      </c>
      <c r="B44" t="s">
        <v>690</v>
      </c>
      <c r="C44" t="s">
        <v>691</v>
      </c>
      <c r="D44" t="s">
        <v>670</v>
      </c>
      <c r="E44" t="s">
        <v>671</v>
      </c>
      <c r="F44" t="s">
        <v>672</v>
      </c>
      <c r="G44" t="s">
        <v>673</v>
      </c>
      <c r="H44" t="s">
        <v>692</v>
      </c>
      <c r="I44" t="s">
        <v>693</v>
      </c>
      <c r="J44" t="s">
        <v>694</v>
      </c>
      <c r="K44" t="s">
        <v>695</v>
      </c>
      <c r="L44" t="s">
        <v>696</v>
      </c>
      <c r="M44" t="s">
        <v>45</v>
      </c>
      <c r="N44" t="s">
        <v>697</v>
      </c>
      <c r="O44" t="s">
        <v>698</v>
      </c>
    </row>
    <row r="45" spans="1:15">
      <c r="A45" t="s">
        <v>699</v>
      </c>
      <c r="B45" t="s">
        <v>700</v>
      </c>
      <c r="D45" t="s">
        <v>701</v>
      </c>
      <c r="E45" t="s">
        <v>702</v>
      </c>
      <c r="F45" t="s">
        <v>703</v>
      </c>
      <c r="G45" t="s">
        <v>703</v>
      </c>
      <c r="H45" t="s">
        <v>704</v>
      </c>
      <c r="I45" t="s">
        <v>705</v>
      </c>
      <c r="K45" t="s">
        <v>706</v>
      </c>
      <c r="L45" t="s">
        <v>707</v>
      </c>
      <c r="M45" t="s">
        <v>555</v>
      </c>
      <c r="N45" t="s">
        <v>708</v>
      </c>
      <c r="O45" t="s">
        <v>709</v>
      </c>
    </row>
    <row r="46" spans="1:15">
      <c r="A46" t="s">
        <v>710</v>
      </c>
      <c r="B46" t="s">
        <v>711</v>
      </c>
      <c r="C46" t="s">
        <v>712</v>
      </c>
      <c r="D46" t="s">
        <v>713</v>
      </c>
      <c r="E46" t="s">
        <v>714</v>
      </c>
      <c r="F46" t="s">
        <v>715</v>
      </c>
      <c r="G46" t="s">
        <v>715</v>
      </c>
      <c r="H46" t="s">
        <v>612</v>
      </c>
      <c r="I46" t="s">
        <v>716</v>
      </c>
      <c r="K46" t="s">
        <v>717</v>
      </c>
      <c r="L46" t="s">
        <v>615</v>
      </c>
      <c r="M46" t="s">
        <v>45</v>
      </c>
      <c r="N46" t="s">
        <v>718</v>
      </c>
      <c r="O46" t="s">
        <v>719</v>
      </c>
    </row>
    <row r="47" spans="1:15">
      <c r="A47" t="s">
        <v>720</v>
      </c>
      <c r="B47" t="s">
        <v>721</v>
      </c>
      <c r="C47" t="s">
        <v>722</v>
      </c>
      <c r="D47" t="s">
        <v>723</v>
      </c>
      <c r="E47" t="s">
        <v>724</v>
      </c>
      <c r="H47" t="s">
        <v>725</v>
      </c>
      <c r="I47" t="s">
        <v>726</v>
      </c>
      <c r="K47" t="s">
        <v>591</v>
      </c>
      <c r="L47" t="s">
        <v>615</v>
      </c>
      <c r="M47" t="s">
        <v>45</v>
      </c>
      <c r="N47" t="s">
        <v>727</v>
      </c>
      <c r="O47" t="s">
        <v>728</v>
      </c>
    </row>
    <row r="48" spans="1:15">
      <c r="A48" t="s">
        <v>729</v>
      </c>
      <c r="B48" t="s">
        <v>730</v>
      </c>
      <c r="C48" t="s">
        <v>731</v>
      </c>
      <c r="D48" t="s">
        <v>732</v>
      </c>
      <c r="E48" t="s">
        <v>733</v>
      </c>
      <c r="F48" t="s">
        <v>734</v>
      </c>
      <c r="H48" t="s">
        <v>362</v>
      </c>
      <c r="I48" t="s">
        <v>735</v>
      </c>
      <c r="J48" t="s">
        <v>736</v>
      </c>
      <c r="K48" t="s">
        <v>737</v>
      </c>
      <c r="L48" t="s">
        <v>329</v>
      </c>
      <c r="M48" t="s">
        <v>45</v>
      </c>
      <c r="N48" t="s">
        <v>367</v>
      </c>
      <c r="O48" t="s">
        <v>738</v>
      </c>
    </row>
    <row r="49" spans="1:15">
      <c r="A49" t="s">
        <v>739</v>
      </c>
      <c r="B49" t="s">
        <v>740</v>
      </c>
      <c r="C49" t="s">
        <v>741</v>
      </c>
      <c r="D49" t="s">
        <v>742</v>
      </c>
      <c r="E49" t="s">
        <v>743</v>
      </c>
      <c r="F49" t="s">
        <v>744</v>
      </c>
      <c r="G49" t="s">
        <v>745</v>
      </c>
      <c r="H49" t="s">
        <v>746</v>
      </c>
      <c r="I49" t="s">
        <v>747</v>
      </c>
      <c r="J49" t="s">
        <v>748</v>
      </c>
      <c r="K49" t="s">
        <v>749</v>
      </c>
      <c r="L49" t="s">
        <v>329</v>
      </c>
      <c r="M49" t="s">
        <v>45</v>
      </c>
      <c r="N49" t="s">
        <v>750</v>
      </c>
      <c r="O49" t="s">
        <v>751</v>
      </c>
    </row>
    <row r="50" spans="1:15">
      <c r="A50" t="s">
        <v>752</v>
      </c>
      <c r="B50" t="s">
        <v>753</v>
      </c>
      <c r="C50" t="s">
        <v>754</v>
      </c>
      <c r="G50" t="s">
        <v>755</v>
      </c>
      <c r="H50" t="s">
        <v>756</v>
      </c>
      <c r="I50" t="s">
        <v>757</v>
      </c>
      <c r="K50" t="s">
        <v>758</v>
      </c>
      <c r="L50" t="s">
        <v>759</v>
      </c>
      <c r="M50" t="s">
        <v>760</v>
      </c>
      <c r="N50" t="s">
        <v>761</v>
      </c>
      <c r="O50" t="s">
        <v>762</v>
      </c>
    </row>
    <row r="51" spans="1:15">
      <c r="A51" t="s">
        <v>763</v>
      </c>
      <c r="B51" t="s">
        <v>764</v>
      </c>
      <c r="C51" t="s">
        <v>765</v>
      </c>
      <c r="D51" t="s">
        <v>766</v>
      </c>
      <c r="E51" t="s">
        <v>767</v>
      </c>
      <c r="F51" t="s">
        <v>768</v>
      </c>
      <c r="H51" t="s">
        <v>769</v>
      </c>
      <c r="I51" t="s">
        <v>770</v>
      </c>
      <c r="K51" t="s">
        <v>329</v>
      </c>
      <c r="L51" t="s">
        <v>329</v>
      </c>
      <c r="M51" t="s">
        <v>760</v>
      </c>
      <c r="N51" t="s">
        <v>771</v>
      </c>
      <c r="O51" t="s">
        <v>772</v>
      </c>
    </row>
    <row r="52" spans="1:15">
      <c r="A52" t="s">
        <v>710</v>
      </c>
      <c r="B52" t="s">
        <v>711</v>
      </c>
      <c r="C52" t="s">
        <v>773</v>
      </c>
      <c r="D52" t="s">
        <v>774</v>
      </c>
      <c r="E52" t="s">
        <v>714</v>
      </c>
      <c r="F52" t="s">
        <v>775</v>
      </c>
      <c r="H52" t="s">
        <v>776</v>
      </c>
      <c r="I52" t="s">
        <v>716</v>
      </c>
      <c r="K52" t="s">
        <v>777</v>
      </c>
      <c r="L52" t="s">
        <v>329</v>
      </c>
      <c r="M52" t="s">
        <v>760</v>
      </c>
      <c r="N52" t="s">
        <v>718</v>
      </c>
      <c r="O52" t="s">
        <v>778</v>
      </c>
    </row>
    <row r="53" spans="1:15">
      <c r="A53" t="s">
        <v>779</v>
      </c>
      <c r="B53" t="s">
        <v>780</v>
      </c>
      <c r="C53" t="s">
        <v>781</v>
      </c>
      <c r="D53" t="s">
        <v>782</v>
      </c>
      <c r="E53" t="s">
        <v>783</v>
      </c>
      <c r="F53" t="s">
        <v>784</v>
      </c>
      <c r="H53" t="s">
        <v>785</v>
      </c>
      <c r="I53" t="s">
        <v>786</v>
      </c>
      <c r="K53" t="s">
        <v>787</v>
      </c>
      <c r="L53" t="s">
        <v>788</v>
      </c>
      <c r="M53" t="s">
        <v>533</v>
      </c>
      <c r="N53" t="s">
        <v>789</v>
      </c>
      <c r="O53" t="s">
        <v>790</v>
      </c>
    </row>
    <row r="54" spans="1:15">
      <c r="A54" t="s">
        <v>791</v>
      </c>
      <c r="B54" t="s">
        <v>792</v>
      </c>
      <c r="C54" t="s">
        <v>793</v>
      </c>
      <c r="D54" t="s">
        <v>794</v>
      </c>
      <c r="E54" t="s">
        <v>795</v>
      </c>
      <c r="F54" t="s">
        <v>796</v>
      </c>
      <c r="G54" t="s">
        <v>336</v>
      </c>
      <c r="H54" t="s">
        <v>777</v>
      </c>
      <c r="I54" t="s">
        <v>797</v>
      </c>
      <c r="J54" t="s">
        <v>798</v>
      </c>
      <c r="K54" t="s">
        <v>799</v>
      </c>
      <c r="L54" t="s">
        <v>32</v>
      </c>
      <c r="M54" t="s">
        <v>760</v>
      </c>
      <c r="N54" t="s">
        <v>800</v>
      </c>
      <c r="O54" t="s">
        <v>801</v>
      </c>
    </row>
    <row r="55" spans="1:15">
      <c r="A55" t="s">
        <v>802</v>
      </c>
      <c r="B55" t="s">
        <v>803</v>
      </c>
      <c r="C55" t="s">
        <v>804</v>
      </c>
      <c r="D55" t="s">
        <v>805</v>
      </c>
      <c r="E55" t="s">
        <v>806</v>
      </c>
      <c r="F55" t="s">
        <v>807</v>
      </c>
      <c r="G55" t="s">
        <v>807</v>
      </c>
      <c r="H55" t="s">
        <v>808</v>
      </c>
      <c r="I55" t="s">
        <v>809</v>
      </c>
      <c r="J55" t="s">
        <v>810</v>
      </c>
      <c r="K55" t="s">
        <v>811</v>
      </c>
      <c r="L55" t="s">
        <v>32</v>
      </c>
      <c r="M55" t="s">
        <v>760</v>
      </c>
      <c r="N55" t="s">
        <v>812</v>
      </c>
      <c r="O55" t="s">
        <v>813</v>
      </c>
    </row>
    <row r="56" spans="1:15">
      <c r="A56" t="s">
        <v>814</v>
      </c>
      <c r="B56" t="s">
        <v>815</v>
      </c>
      <c r="C56" t="s">
        <v>816</v>
      </c>
      <c r="D56" t="s">
        <v>817</v>
      </c>
      <c r="E56" t="s">
        <v>818</v>
      </c>
      <c r="F56" t="s">
        <v>819</v>
      </c>
      <c r="H56" t="s">
        <v>820</v>
      </c>
      <c r="I56" t="s">
        <v>821</v>
      </c>
      <c r="J56" t="s">
        <v>822</v>
      </c>
      <c r="K56" t="s">
        <v>823</v>
      </c>
      <c r="L56" t="s">
        <v>824</v>
      </c>
      <c r="M56" t="s">
        <v>760</v>
      </c>
      <c r="N56" t="s">
        <v>825</v>
      </c>
      <c r="O56" t="s">
        <v>826</v>
      </c>
    </row>
    <row r="57" spans="1:15">
      <c r="A57" t="s">
        <v>827</v>
      </c>
      <c r="B57" t="s">
        <v>828</v>
      </c>
      <c r="C57" t="s">
        <v>829</v>
      </c>
      <c r="D57" t="s">
        <v>805</v>
      </c>
      <c r="E57" t="s">
        <v>806</v>
      </c>
      <c r="F57" t="s">
        <v>807</v>
      </c>
      <c r="G57" t="s">
        <v>807</v>
      </c>
      <c r="H57" t="s">
        <v>830</v>
      </c>
      <c r="I57" t="s">
        <v>79</v>
      </c>
      <c r="J57" t="s">
        <v>831</v>
      </c>
      <c r="K57" t="s">
        <v>832</v>
      </c>
      <c r="L57" t="s">
        <v>833</v>
      </c>
      <c r="M57" t="s">
        <v>62</v>
      </c>
      <c r="N57" t="s">
        <v>834</v>
      </c>
      <c r="O57" t="s">
        <v>835</v>
      </c>
    </row>
    <row r="58" spans="1:15">
      <c r="A58" t="s">
        <v>836</v>
      </c>
      <c r="B58" t="s">
        <v>730</v>
      </c>
      <c r="C58" t="s">
        <v>837</v>
      </c>
      <c r="D58" t="s">
        <v>732</v>
      </c>
      <c r="E58" t="s">
        <v>733</v>
      </c>
      <c r="F58" t="s">
        <v>734</v>
      </c>
      <c r="G58" t="s">
        <v>734</v>
      </c>
      <c r="H58" t="s">
        <v>362</v>
      </c>
      <c r="I58" t="s">
        <v>735</v>
      </c>
      <c r="J58" t="s">
        <v>838</v>
      </c>
      <c r="K58" t="s">
        <v>839</v>
      </c>
      <c r="L58" t="s">
        <v>329</v>
      </c>
      <c r="M58" t="s">
        <v>760</v>
      </c>
      <c r="N58" t="s">
        <v>367</v>
      </c>
      <c r="O58" t="s">
        <v>840</v>
      </c>
    </row>
    <row r="59" spans="1:15">
      <c r="A59" t="s">
        <v>841</v>
      </c>
      <c r="B59" t="s">
        <v>281</v>
      </c>
      <c r="C59" t="s">
        <v>282</v>
      </c>
      <c r="D59" t="s">
        <v>283</v>
      </c>
      <c r="E59" t="s">
        <v>842</v>
      </c>
      <c r="F59" t="s">
        <v>843</v>
      </c>
      <c r="G59" t="s">
        <v>286</v>
      </c>
      <c r="H59" t="s">
        <v>844</v>
      </c>
      <c r="I59" t="s">
        <v>288</v>
      </c>
      <c r="J59" t="s">
        <v>845</v>
      </c>
      <c r="K59" t="s">
        <v>290</v>
      </c>
      <c r="L59" t="s">
        <v>291</v>
      </c>
      <c r="M59" t="s">
        <v>760</v>
      </c>
      <c r="N59" t="s">
        <v>846</v>
      </c>
      <c r="O59" t="s">
        <v>847</v>
      </c>
    </row>
    <row r="60" spans="1:15">
      <c r="A60" t="s">
        <v>848</v>
      </c>
      <c r="B60" t="s">
        <v>849</v>
      </c>
      <c r="C60" t="s">
        <v>850</v>
      </c>
      <c r="D60" t="s">
        <v>851</v>
      </c>
      <c r="E60" t="s">
        <v>852</v>
      </c>
      <c r="F60" t="s">
        <v>819</v>
      </c>
      <c r="H60" t="s">
        <v>312</v>
      </c>
      <c r="J60" t="s">
        <v>853</v>
      </c>
      <c r="K60" t="s">
        <v>854</v>
      </c>
      <c r="L60" t="s">
        <v>66</v>
      </c>
      <c r="M60" t="s">
        <v>62</v>
      </c>
      <c r="N60" t="s">
        <v>855</v>
      </c>
      <c r="O60" t="s">
        <v>856</v>
      </c>
    </row>
    <row r="61" spans="1:15">
      <c r="A61" t="s">
        <v>857</v>
      </c>
      <c r="B61" t="s">
        <v>858</v>
      </c>
      <c r="D61" t="s">
        <v>859</v>
      </c>
      <c r="F61" t="s">
        <v>860</v>
      </c>
      <c r="G61" t="s">
        <v>860</v>
      </c>
      <c r="H61" t="s">
        <v>861</v>
      </c>
      <c r="I61" t="s">
        <v>862</v>
      </c>
      <c r="J61" t="s">
        <v>863</v>
      </c>
      <c r="K61" t="s">
        <v>864</v>
      </c>
      <c r="L61" t="s">
        <v>865</v>
      </c>
      <c r="M61" t="s">
        <v>533</v>
      </c>
      <c r="N61" t="s">
        <v>866</v>
      </c>
      <c r="O61" t="s">
        <v>867</v>
      </c>
    </row>
    <row r="62" spans="1:15">
      <c r="A62" t="s">
        <v>868</v>
      </c>
      <c r="B62" t="s">
        <v>740</v>
      </c>
      <c r="C62" t="s">
        <v>741</v>
      </c>
      <c r="D62" t="s">
        <v>869</v>
      </c>
      <c r="E62" t="s">
        <v>870</v>
      </c>
      <c r="F62" t="s">
        <v>871</v>
      </c>
      <c r="G62" t="s">
        <v>872</v>
      </c>
      <c r="H62" t="s">
        <v>746</v>
      </c>
      <c r="I62" t="s">
        <v>873</v>
      </c>
      <c r="J62" t="s">
        <v>748</v>
      </c>
      <c r="K62" t="s">
        <v>749</v>
      </c>
      <c r="L62" t="s">
        <v>329</v>
      </c>
      <c r="M62" t="s">
        <v>760</v>
      </c>
      <c r="N62" t="s">
        <v>874</v>
      </c>
      <c r="O62" t="s">
        <v>875</v>
      </c>
    </row>
    <row r="63" spans="1:15">
      <c r="A63" t="s">
        <v>876</v>
      </c>
      <c r="B63" t="s">
        <v>877</v>
      </c>
      <c r="D63" t="s">
        <v>878</v>
      </c>
      <c r="E63" t="s">
        <v>879</v>
      </c>
      <c r="F63" t="s">
        <v>880</v>
      </c>
      <c r="G63" t="s">
        <v>880</v>
      </c>
      <c r="H63" t="s">
        <v>881</v>
      </c>
      <c r="I63" t="s">
        <v>882</v>
      </c>
      <c r="K63" t="s">
        <v>883</v>
      </c>
      <c r="L63" t="s">
        <v>884</v>
      </c>
      <c r="M63" t="s">
        <v>760</v>
      </c>
      <c r="N63" t="s">
        <v>885</v>
      </c>
      <c r="O63" t="s">
        <v>886</v>
      </c>
    </row>
    <row r="64" spans="1:15">
      <c r="A64" t="s">
        <v>887</v>
      </c>
      <c r="B64" t="s">
        <v>888</v>
      </c>
      <c r="D64" t="s">
        <v>889</v>
      </c>
      <c r="E64" t="s">
        <v>890</v>
      </c>
      <c r="F64" t="s">
        <v>891</v>
      </c>
      <c r="G64" t="s">
        <v>891</v>
      </c>
      <c r="H64" t="s">
        <v>892</v>
      </c>
      <c r="I64" t="s">
        <v>893</v>
      </c>
      <c r="K64" t="s">
        <v>894</v>
      </c>
      <c r="L64" t="s">
        <v>895</v>
      </c>
      <c r="M64" t="s">
        <v>544</v>
      </c>
      <c r="N64" t="s">
        <v>896</v>
      </c>
      <c r="O64" t="s">
        <v>897</v>
      </c>
    </row>
    <row r="65" spans="1:15">
      <c r="A65" t="s">
        <v>898</v>
      </c>
      <c r="B65" t="s">
        <v>899</v>
      </c>
      <c r="C65" t="s">
        <v>900</v>
      </c>
      <c r="D65" t="s">
        <v>782</v>
      </c>
      <c r="E65" t="s">
        <v>783</v>
      </c>
      <c r="F65" t="s">
        <v>784</v>
      </c>
      <c r="G65" t="s">
        <v>784</v>
      </c>
      <c r="H65" t="s">
        <v>901</v>
      </c>
      <c r="I65" t="s">
        <v>902</v>
      </c>
      <c r="J65" t="s">
        <v>903</v>
      </c>
      <c r="K65" t="s">
        <v>904</v>
      </c>
      <c r="L65" t="s">
        <v>905</v>
      </c>
      <c r="M65" t="s">
        <v>906</v>
      </c>
      <c r="N65" t="s">
        <v>907</v>
      </c>
      <c r="O65" t="s">
        <v>908</v>
      </c>
    </row>
    <row r="66" spans="1:15">
      <c r="A66" t="s">
        <v>909</v>
      </c>
      <c r="B66" t="s">
        <v>910</v>
      </c>
      <c r="C66" t="s">
        <v>911</v>
      </c>
      <c r="D66" t="s">
        <v>889</v>
      </c>
      <c r="E66" t="s">
        <v>890</v>
      </c>
      <c r="F66" t="s">
        <v>891</v>
      </c>
      <c r="G66" t="s">
        <v>891</v>
      </c>
      <c r="H66" t="s">
        <v>312</v>
      </c>
      <c r="I66" t="s">
        <v>912</v>
      </c>
      <c r="J66" t="s">
        <v>913</v>
      </c>
      <c r="K66" t="s">
        <v>914</v>
      </c>
      <c r="L66" t="s">
        <v>915</v>
      </c>
      <c r="M66" t="s">
        <v>62</v>
      </c>
      <c r="N66" t="s">
        <v>916</v>
      </c>
      <c r="O66" t="s">
        <v>917</v>
      </c>
    </row>
    <row r="67" spans="1:15">
      <c r="A67" t="s">
        <v>918</v>
      </c>
      <c r="B67" t="s">
        <v>919</v>
      </c>
      <c r="H67" t="s">
        <v>920</v>
      </c>
      <c r="I67" t="s">
        <v>821</v>
      </c>
      <c r="J67" t="s">
        <v>921</v>
      </c>
      <c r="K67" t="s">
        <v>922</v>
      </c>
      <c r="L67" t="s">
        <v>923</v>
      </c>
      <c r="M67" t="s">
        <v>45</v>
      </c>
      <c r="N67" t="s">
        <v>924</v>
      </c>
      <c r="O67" t="s">
        <v>925</v>
      </c>
    </row>
    <row r="68" spans="1:15">
      <c r="A68" t="s">
        <v>926</v>
      </c>
      <c r="B68" t="s">
        <v>927</v>
      </c>
      <c r="C68" t="s">
        <v>928</v>
      </c>
      <c r="D68" t="s">
        <v>929</v>
      </c>
      <c r="E68" t="s">
        <v>930</v>
      </c>
      <c r="F68" t="s">
        <v>931</v>
      </c>
      <c r="G68" t="s">
        <v>931</v>
      </c>
      <c r="H68" t="s">
        <v>932</v>
      </c>
      <c r="I68" t="s">
        <v>933</v>
      </c>
      <c r="J68" t="s">
        <v>934</v>
      </c>
      <c r="K68" t="s">
        <v>935</v>
      </c>
      <c r="L68" t="s">
        <v>936</v>
      </c>
      <c r="M68" t="s">
        <v>760</v>
      </c>
      <c r="N68" t="s">
        <v>937</v>
      </c>
      <c r="O68" t="s">
        <v>938</v>
      </c>
    </row>
    <row r="69" spans="1:15">
      <c r="A69" t="s">
        <v>939</v>
      </c>
      <c r="B69" t="s">
        <v>940</v>
      </c>
      <c r="C69" t="s">
        <v>941</v>
      </c>
      <c r="D69" t="s">
        <v>942</v>
      </c>
      <c r="E69" t="s">
        <v>943</v>
      </c>
      <c r="H69" t="s">
        <v>944</v>
      </c>
      <c r="I69" t="s">
        <v>945</v>
      </c>
      <c r="K69" t="s">
        <v>946</v>
      </c>
      <c r="L69" t="s">
        <v>329</v>
      </c>
      <c r="M69" t="s">
        <v>760</v>
      </c>
      <c r="N69" t="s">
        <v>947</v>
      </c>
      <c r="O69" t="s">
        <v>948</v>
      </c>
    </row>
    <row r="70" spans="1:15">
      <c r="A70" t="s">
        <v>949</v>
      </c>
      <c r="B70" t="s">
        <v>950</v>
      </c>
      <c r="C70" t="s">
        <v>951</v>
      </c>
      <c r="D70" t="s">
        <v>952</v>
      </c>
      <c r="E70" t="s">
        <v>953</v>
      </c>
      <c r="F70" t="s">
        <v>954</v>
      </c>
      <c r="G70" t="s">
        <v>954</v>
      </c>
      <c r="H70" t="s">
        <v>955</v>
      </c>
      <c r="I70" t="s">
        <v>956</v>
      </c>
      <c r="J70" t="s">
        <v>274</v>
      </c>
      <c r="K70" t="s">
        <v>957</v>
      </c>
      <c r="L70" t="s">
        <v>329</v>
      </c>
      <c r="M70" t="s">
        <v>760</v>
      </c>
      <c r="N70" t="s">
        <v>958</v>
      </c>
      <c r="O70" t="s">
        <v>959</v>
      </c>
    </row>
    <row r="71" spans="1:15">
      <c r="A71" t="s">
        <v>960</v>
      </c>
      <c r="B71" t="s">
        <v>961</v>
      </c>
      <c r="C71" t="s">
        <v>962</v>
      </c>
      <c r="D71" t="s">
        <v>942</v>
      </c>
      <c r="E71" t="s">
        <v>943</v>
      </c>
      <c r="H71" t="s">
        <v>963</v>
      </c>
      <c r="I71" t="s">
        <v>964</v>
      </c>
      <c r="J71" t="s">
        <v>965</v>
      </c>
      <c r="K71" t="s">
        <v>966</v>
      </c>
      <c r="L71" t="s">
        <v>366</v>
      </c>
      <c r="M71" t="s">
        <v>760</v>
      </c>
      <c r="N71" t="s">
        <v>967</v>
      </c>
      <c r="O71" t="s">
        <v>968</v>
      </c>
    </row>
    <row r="72" spans="1:15">
      <c r="A72" t="s">
        <v>969</v>
      </c>
      <c r="B72" t="s">
        <v>970</v>
      </c>
      <c r="C72" t="s">
        <v>971</v>
      </c>
      <c r="D72" t="s">
        <v>972</v>
      </c>
      <c r="E72" t="s">
        <v>973</v>
      </c>
      <c r="F72" t="s">
        <v>974</v>
      </c>
      <c r="G72" t="s">
        <v>975</v>
      </c>
      <c r="H72" t="s">
        <v>976</v>
      </c>
      <c r="I72" t="s">
        <v>977</v>
      </c>
      <c r="J72" t="s">
        <v>978</v>
      </c>
      <c r="K72" t="s">
        <v>979</v>
      </c>
      <c r="L72" t="s">
        <v>980</v>
      </c>
      <c r="M72" t="s">
        <v>760</v>
      </c>
      <c r="N72" t="s">
        <v>981</v>
      </c>
      <c r="O72" t="s">
        <v>982</v>
      </c>
    </row>
    <row r="73" spans="1:15">
      <c r="A73" t="s">
        <v>983</v>
      </c>
      <c r="B73" t="s">
        <v>984</v>
      </c>
      <c r="C73" t="s">
        <v>985</v>
      </c>
      <c r="D73" t="s">
        <v>986</v>
      </c>
      <c r="E73" t="s">
        <v>987</v>
      </c>
      <c r="F73" t="s">
        <v>988</v>
      </c>
      <c r="G73" t="s">
        <v>989</v>
      </c>
      <c r="H73" t="s">
        <v>990</v>
      </c>
      <c r="I73" t="s">
        <v>991</v>
      </c>
      <c r="J73" t="s">
        <v>992</v>
      </c>
      <c r="K73" t="s">
        <v>993</v>
      </c>
      <c r="L73" t="s">
        <v>994</v>
      </c>
      <c r="M73" t="s">
        <v>277</v>
      </c>
      <c r="N73" t="s">
        <v>995</v>
      </c>
      <c r="O73" t="s">
        <v>996</v>
      </c>
    </row>
    <row r="74" spans="1:15">
      <c r="A74" t="s">
        <v>997</v>
      </c>
      <c r="B74" t="s">
        <v>998</v>
      </c>
      <c r="C74" t="s">
        <v>999</v>
      </c>
      <c r="D74" t="s">
        <v>1000</v>
      </c>
      <c r="E74" t="s">
        <v>1001</v>
      </c>
      <c r="F74" t="s">
        <v>1002</v>
      </c>
      <c r="G74" t="s">
        <v>1002</v>
      </c>
      <c r="H74" t="s">
        <v>1003</v>
      </c>
      <c r="I74" t="s">
        <v>1004</v>
      </c>
      <c r="J74" t="s">
        <v>1005</v>
      </c>
      <c r="K74" t="s">
        <v>1006</v>
      </c>
      <c r="L74" t="s">
        <v>66</v>
      </c>
      <c r="M74" t="s">
        <v>62</v>
      </c>
      <c r="N74" t="s">
        <v>1007</v>
      </c>
      <c r="O74" t="s">
        <v>1008</v>
      </c>
    </row>
    <row r="75" spans="1:15">
      <c r="A75" t="s">
        <v>1009</v>
      </c>
      <c r="B75" t="s">
        <v>1010</v>
      </c>
      <c r="C75" t="s">
        <v>1011</v>
      </c>
      <c r="D75" t="s">
        <v>782</v>
      </c>
      <c r="E75" t="s">
        <v>1012</v>
      </c>
      <c r="F75" t="s">
        <v>1013</v>
      </c>
      <c r="G75" t="s">
        <v>1013</v>
      </c>
      <c r="H75" t="s">
        <v>1014</v>
      </c>
      <c r="I75" t="s">
        <v>902</v>
      </c>
      <c r="J75" t="s">
        <v>1015</v>
      </c>
      <c r="K75" t="s">
        <v>914</v>
      </c>
      <c r="L75" t="s">
        <v>915</v>
      </c>
      <c r="M75" t="s">
        <v>1016</v>
      </c>
      <c r="N75" t="s">
        <v>1017</v>
      </c>
      <c r="O75" t="s">
        <v>1018</v>
      </c>
    </row>
    <row r="76" spans="1:15">
      <c r="A76" t="s">
        <v>1019</v>
      </c>
      <c r="B76" t="s">
        <v>1020</v>
      </c>
      <c r="C76" t="s">
        <v>1021</v>
      </c>
      <c r="D76" t="s">
        <v>1022</v>
      </c>
      <c r="E76" t="s">
        <v>1023</v>
      </c>
      <c r="F76" t="s">
        <v>1024</v>
      </c>
      <c r="G76" t="s">
        <v>1025</v>
      </c>
      <c r="H76" t="s">
        <v>1026</v>
      </c>
      <c r="I76" t="s">
        <v>1027</v>
      </c>
      <c r="J76" t="s">
        <v>1028</v>
      </c>
      <c r="K76" t="s">
        <v>966</v>
      </c>
      <c r="L76" t="s">
        <v>366</v>
      </c>
      <c r="M76" t="s">
        <v>45</v>
      </c>
      <c r="N76" t="s">
        <v>967</v>
      </c>
      <c r="O76" t="s">
        <v>1029</v>
      </c>
    </row>
    <row r="77" spans="1:15">
      <c r="A77" t="s">
        <v>1030</v>
      </c>
      <c r="B77" t="s">
        <v>1031</v>
      </c>
      <c r="C77" t="s">
        <v>1032</v>
      </c>
      <c r="D77" t="s">
        <v>1033</v>
      </c>
      <c r="E77" t="s">
        <v>1034</v>
      </c>
      <c r="F77" t="s">
        <v>1035</v>
      </c>
      <c r="G77" t="s">
        <v>1035</v>
      </c>
      <c r="H77" t="s">
        <v>1036</v>
      </c>
      <c r="I77" t="s">
        <v>1037</v>
      </c>
      <c r="J77" t="s">
        <v>1038</v>
      </c>
      <c r="K77" t="s">
        <v>1039</v>
      </c>
      <c r="L77" t="s">
        <v>366</v>
      </c>
      <c r="M77" t="s">
        <v>45</v>
      </c>
      <c r="N77" t="s">
        <v>1040</v>
      </c>
      <c r="O77" t="s">
        <v>1041</v>
      </c>
    </row>
    <row r="78" spans="1:15">
      <c r="A78" t="s">
        <v>1009</v>
      </c>
      <c r="B78" t="s">
        <v>1010</v>
      </c>
      <c r="C78" t="s">
        <v>1011</v>
      </c>
      <c r="D78" t="s">
        <v>782</v>
      </c>
      <c r="E78" t="s">
        <v>1012</v>
      </c>
      <c r="F78" t="s">
        <v>1042</v>
      </c>
      <c r="G78" t="s">
        <v>1042</v>
      </c>
      <c r="H78" t="s">
        <v>1043</v>
      </c>
      <c r="I78" t="s">
        <v>1044</v>
      </c>
      <c r="J78" t="s">
        <v>1045</v>
      </c>
      <c r="K78" t="s">
        <v>1046</v>
      </c>
      <c r="L78" t="s">
        <v>1047</v>
      </c>
      <c r="M78" t="s">
        <v>62</v>
      </c>
      <c r="N78" t="s">
        <v>1048</v>
      </c>
      <c r="O78" t="s">
        <v>1049</v>
      </c>
    </row>
    <row r="79" spans="1:15">
      <c r="A79" t="s">
        <v>1050</v>
      </c>
      <c r="B79" t="s">
        <v>1051</v>
      </c>
      <c r="C79" t="s">
        <v>1052</v>
      </c>
      <c r="D79" t="s">
        <v>1053</v>
      </c>
      <c r="E79" t="s">
        <v>1053</v>
      </c>
      <c r="F79" t="s">
        <v>1054</v>
      </c>
      <c r="G79" t="s">
        <v>1054</v>
      </c>
      <c r="H79" t="s">
        <v>1055</v>
      </c>
      <c r="I79" t="s">
        <v>1056</v>
      </c>
      <c r="J79" t="s">
        <v>1057</v>
      </c>
      <c r="K79" t="s">
        <v>1058</v>
      </c>
      <c r="L79" t="s">
        <v>32</v>
      </c>
      <c r="M79" t="s">
        <v>45</v>
      </c>
      <c r="N79" t="s">
        <v>800</v>
      </c>
      <c r="O79" t="s">
        <v>1059</v>
      </c>
    </row>
    <row r="80" spans="1:15">
      <c r="A80" t="s">
        <v>1060</v>
      </c>
      <c r="B80" t="s">
        <v>1061</v>
      </c>
      <c r="C80" t="s">
        <v>1062</v>
      </c>
      <c r="D80" t="s">
        <v>1063</v>
      </c>
      <c r="E80" t="s">
        <v>1064</v>
      </c>
      <c r="F80" t="s">
        <v>1065</v>
      </c>
      <c r="G80" t="s">
        <v>1065</v>
      </c>
      <c r="H80" t="s">
        <v>1066</v>
      </c>
      <c r="I80" t="s">
        <v>1067</v>
      </c>
      <c r="J80" t="s">
        <v>1068</v>
      </c>
      <c r="K80" t="s">
        <v>1069</v>
      </c>
      <c r="L80" t="s">
        <v>980</v>
      </c>
      <c r="M80" t="s">
        <v>45</v>
      </c>
      <c r="N80" t="s">
        <v>1070</v>
      </c>
      <c r="O80" t="s">
        <v>1071</v>
      </c>
    </row>
    <row r="81" spans="1:15">
      <c r="A81" t="s">
        <v>1072</v>
      </c>
      <c r="B81" t="s">
        <v>1061</v>
      </c>
      <c r="C81" t="s">
        <v>1062</v>
      </c>
      <c r="D81" t="s">
        <v>1063</v>
      </c>
      <c r="E81" t="s">
        <v>1064</v>
      </c>
      <c r="F81" t="s">
        <v>1065</v>
      </c>
      <c r="G81" t="s">
        <v>1065</v>
      </c>
      <c r="H81" t="s">
        <v>1073</v>
      </c>
      <c r="I81" t="s">
        <v>1074</v>
      </c>
      <c r="J81" t="s">
        <v>1075</v>
      </c>
      <c r="K81" t="s">
        <v>1069</v>
      </c>
      <c r="L81" t="s">
        <v>980</v>
      </c>
      <c r="M81" t="s">
        <v>45</v>
      </c>
      <c r="N81" t="s">
        <v>1076</v>
      </c>
      <c r="O81" t="s">
        <v>1071</v>
      </c>
    </row>
    <row r="82" spans="1:15">
      <c r="A82" t="s">
        <v>1077</v>
      </c>
      <c r="B82" t="s">
        <v>1078</v>
      </c>
      <c r="C82" t="s">
        <v>1079</v>
      </c>
      <c r="D82" t="s">
        <v>1080</v>
      </c>
      <c r="E82" t="s">
        <v>1081</v>
      </c>
      <c r="F82" t="s">
        <v>1082</v>
      </c>
      <c r="G82" t="s">
        <v>1083</v>
      </c>
      <c r="H82" t="s">
        <v>1084</v>
      </c>
      <c r="I82" t="s">
        <v>1085</v>
      </c>
      <c r="J82" t="s">
        <v>1086</v>
      </c>
      <c r="K82" t="s">
        <v>1087</v>
      </c>
      <c r="L82" t="s">
        <v>366</v>
      </c>
      <c r="M82" t="s">
        <v>45</v>
      </c>
      <c r="N82" t="s">
        <v>1088</v>
      </c>
      <c r="O82" t="s">
        <v>1089</v>
      </c>
    </row>
    <row r="83" spans="1:15">
      <c r="A83" t="s">
        <v>1090</v>
      </c>
      <c r="B83" t="s">
        <v>1091</v>
      </c>
      <c r="C83" t="s">
        <v>1092</v>
      </c>
      <c r="D83" t="s">
        <v>1080</v>
      </c>
      <c r="E83" t="s">
        <v>1081</v>
      </c>
      <c r="F83" t="s">
        <v>1082</v>
      </c>
      <c r="G83" t="s">
        <v>1083</v>
      </c>
      <c r="H83" t="s">
        <v>1093</v>
      </c>
      <c r="I83" t="s">
        <v>1085</v>
      </c>
      <c r="J83" t="s">
        <v>112</v>
      </c>
      <c r="K83" t="s">
        <v>1094</v>
      </c>
      <c r="L83" t="s">
        <v>366</v>
      </c>
      <c r="M83" t="s">
        <v>45</v>
      </c>
      <c r="N83" t="s">
        <v>1088</v>
      </c>
      <c r="O83" t="s">
        <v>1095</v>
      </c>
    </row>
    <row r="84" spans="1:15">
      <c r="A84" t="s">
        <v>1096</v>
      </c>
      <c r="B84" t="s">
        <v>1097</v>
      </c>
      <c r="C84" t="s">
        <v>1098</v>
      </c>
      <c r="D84" t="s">
        <v>1099</v>
      </c>
      <c r="E84" t="s">
        <v>1100</v>
      </c>
      <c r="F84" t="s">
        <v>1101</v>
      </c>
      <c r="G84" t="s">
        <v>1102</v>
      </c>
      <c r="H84" t="s">
        <v>1103</v>
      </c>
      <c r="I84" t="s">
        <v>1085</v>
      </c>
      <c r="J84" t="s">
        <v>1104</v>
      </c>
      <c r="K84" t="s">
        <v>1105</v>
      </c>
      <c r="L84" t="s">
        <v>366</v>
      </c>
      <c r="M84" t="s">
        <v>45</v>
      </c>
      <c r="N84" t="s">
        <v>1106</v>
      </c>
      <c r="O84" t="s">
        <v>1107</v>
      </c>
    </row>
    <row r="85" spans="1:15">
      <c r="A85" t="s">
        <v>1108</v>
      </c>
      <c r="B85" t="s">
        <v>1109</v>
      </c>
      <c r="C85" t="s">
        <v>1110</v>
      </c>
      <c r="H85" t="s">
        <v>1111</v>
      </c>
      <c r="I85" t="s">
        <v>1112</v>
      </c>
      <c r="J85" t="s">
        <v>1113</v>
      </c>
      <c r="K85" t="s">
        <v>1114</v>
      </c>
      <c r="L85" t="s">
        <v>366</v>
      </c>
      <c r="M85" t="s">
        <v>45</v>
      </c>
      <c r="N85" t="s">
        <v>1115</v>
      </c>
      <c r="O85" t="s">
        <v>1116</v>
      </c>
    </row>
    <row r="86" spans="1:15">
      <c r="A86" t="s">
        <v>1117</v>
      </c>
      <c r="B86" t="s">
        <v>1118</v>
      </c>
      <c r="C86" t="s">
        <v>1119</v>
      </c>
      <c r="D86" t="s">
        <v>1120</v>
      </c>
      <c r="H86" t="s">
        <v>1121</v>
      </c>
      <c r="I86" t="s">
        <v>1122</v>
      </c>
      <c r="J86" t="s">
        <v>1123</v>
      </c>
      <c r="K86" t="s">
        <v>1124</v>
      </c>
      <c r="L86" t="s">
        <v>329</v>
      </c>
      <c r="M86" t="s">
        <v>45</v>
      </c>
      <c r="N86" t="s">
        <v>1125</v>
      </c>
      <c r="O86" t="s">
        <v>1126</v>
      </c>
    </row>
    <row r="87" spans="1:15">
      <c r="A87" t="s">
        <v>1127</v>
      </c>
      <c r="B87" t="s">
        <v>1128</v>
      </c>
      <c r="C87" t="s">
        <v>1129</v>
      </c>
      <c r="H87" t="s">
        <v>1130</v>
      </c>
      <c r="I87" t="s">
        <v>1131</v>
      </c>
      <c r="J87" t="s">
        <v>1132</v>
      </c>
      <c r="K87" t="s">
        <v>329</v>
      </c>
      <c r="L87" t="s">
        <v>329</v>
      </c>
      <c r="M87" t="s">
        <v>45</v>
      </c>
      <c r="N87" t="s">
        <v>1133</v>
      </c>
      <c r="O87" t="s">
        <v>1134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13</vt:i4>
      </vt:variant>
    </vt:vector>
  </HeadingPairs>
  <TitlesOfParts>
    <vt:vector size="17" baseType="lpstr">
      <vt:lpstr>Ordem de Compra</vt:lpstr>
      <vt:lpstr>Familia</vt:lpstr>
      <vt:lpstr>Produtos</vt:lpstr>
      <vt:lpstr>Fornecedores </vt:lpstr>
      <vt:lpstr>_FiltrarBancodeDados</vt:lpstr>
      <vt:lpstr>BARUERI</vt:lpstr>
      <vt:lpstr>DadosExternos_2</vt:lpstr>
      <vt:lpstr>ES</vt:lpstr>
      <vt:lpstr>HW</vt:lpstr>
      <vt:lpstr>INTERATELL</vt:lpstr>
      <vt:lpstr>LIC</vt:lpstr>
      <vt:lpstr>NATUREZAES</vt:lpstr>
      <vt:lpstr>NATUREZASP</vt:lpstr>
      <vt:lpstr>Produtos_Pasta</vt:lpstr>
      <vt:lpstr>SERRA</vt:lpstr>
      <vt:lpstr>SP</vt:lpstr>
      <vt:lpstr>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2023-07-27T19:05:25Z</dcterms:created>
  <dcterms:modified xsi:type="dcterms:W3CDTF">2026-09-09T20:31:12Z</dcterms:modified>
  <cp:category/>
  <cp:contentStatus/>
</cp:coreProperties>
</file>