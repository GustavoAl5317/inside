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activeX/activeX19.xml" ContentType="application/vnd.ms-office.activeX+xml"/>
  <Override PartName="/xl/activeX/activeX19.bin" ContentType="application/vnd.ms-office.activeX"/>
  <Override PartName="/xl/activeX/activeX20.xml" ContentType="application/vnd.ms-office.activeX+xml"/>
  <Override PartName="/xl/activeX/activeX20.bin" ContentType="application/vnd.ms-office.activeX"/>
  <Override PartName="/xl/activeX/activeX21.xml" ContentType="application/vnd.ms-office.activeX+xml"/>
  <Override PartName="/xl/activeX/activeX21.bin" ContentType="application/vnd.ms-office.activeX"/>
  <Override PartName="/xl/activeX/activeX22.xml" ContentType="application/vnd.ms-office.activeX+xml"/>
  <Override PartName="/xl/activeX/activeX22.bin" ContentType="application/vnd.ms-office.activeX"/>
  <Override PartName="/xl/comments1.xml" ContentType="application/vnd.openxmlformats-officedocument.spreadsheetml.comments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 codeName="{26A90621-87C4-6C01-FD6A-EE6E7C140903}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interatelltelecom.sharepoint.com/sites/SharePoint-Comercial/Documentos Compartilhados/IS/CLIENTES/PEDIDO FECHADOS/RENATO/SEPHORA/2026.12257/"/>
    </mc:Choice>
  </mc:AlternateContent>
  <xr:revisionPtr revIDLastSave="2861" documentId="13_ncr:1_{DA45FC0F-4C17-49E1-8297-9B391D081B1A}" xr6:coauthVersionLast="47" xr6:coauthVersionMax="47" xr10:uidLastSave="{B914D9F5-CC62-4B83-9053-CAD247F00E30}"/>
  <workbookProtection lockStructure="1"/>
  <bookViews>
    <workbookView xWindow="-120" yWindow="-120" windowWidth="20730" windowHeight="11040" tabRatio="840" xr2:uid="{00000000-000D-0000-FFFF-FFFF00000000}"/>
  </bookViews>
  <sheets>
    <sheet name="Ordem de Compra" sheetId="4" r:id="rId1"/>
    <sheet name="Familia" sheetId="8" state="hidden" r:id="rId2"/>
    <sheet name="Produtos" sheetId="20" state="hidden" r:id="rId3"/>
    <sheet name="Fornecedores " sheetId="16" state="hidden" r:id="rId4"/>
  </sheets>
  <externalReferences>
    <externalReference r:id="rId5"/>
  </externalReferences>
  <definedNames>
    <definedName name="_xlnm._FilterDatabase" localSheetId="1" hidden="1">Familia!$B$2:$D$2</definedName>
    <definedName name="BARUERI">Familia!$F$3:$F$5</definedName>
    <definedName name="DadosExternos_2" localSheetId="3" hidden="1">'Fornecedores '!$A$1:$O$89</definedName>
    <definedName name="DadosExternos_3" localSheetId="2" hidden="1">Produtos!$A$1:$L$1048528</definedName>
    <definedName name="Distribuidor">'[1]ORDEM DE COMPRA'!$U$9:$U$1048576</definedName>
    <definedName name="Distribuidores" localSheetId="0">'Ordem de Compra'!#REF!</definedName>
    <definedName name="Distribuidores">#REF!</definedName>
    <definedName name="ES">Familia!$D$3:$D$16</definedName>
    <definedName name="Fornecedor">#REF!</definedName>
    <definedName name="Fornecedores_Pasta">Fornecedores[]</definedName>
    <definedName name="Fornecedores_SharePoint">#REF!</definedName>
    <definedName name="Fornecedores_WEB">#REF!</definedName>
    <definedName name="HW">Familia!$I$3</definedName>
    <definedName name="INTERATELL" localSheetId="0">'Ordem de Compra'!$U$9:$AI$10</definedName>
    <definedName name="Interatell">#REF!</definedName>
    <definedName name="LIC">Familia!$K$3</definedName>
    <definedName name="NATUREZAES">Familia!$G$3</definedName>
    <definedName name="NATUREZASP">Familia!$F$3:$F$5</definedName>
    <definedName name="Produtos_Pasta">Produtos!$A$2:$I$481</definedName>
    <definedName name="Produtos_Share_Point">#REF!</definedName>
    <definedName name="SERRA">Familia!$G$3</definedName>
    <definedName name="SP">Familia!$B$3:$B$43</definedName>
    <definedName name="SW">Familia!$J$3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4" l="1"/>
  <c r="P30" i="4"/>
  <c r="Q30" i="4" s="1"/>
  <c r="R30" i="4" s="1"/>
  <c r="M31" i="4"/>
  <c r="O30" i="4"/>
  <c r="M30" i="4"/>
  <c r="G9" i="4"/>
  <c r="J33" i="4" l="1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32" i="4"/>
  <c r="C32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D13" i="4"/>
  <c r="D11" i="4"/>
  <c r="B14" i="4"/>
  <c r="B13" i="4"/>
  <c r="B12" i="4"/>
  <c r="B11" i="4"/>
  <c r="B10" i="4"/>
  <c r="G10" i="4"/>
  <c r="I10" i="4"/>
  <c r="AJ9" i="4"/>
  <c r="N9" i="4" l="1"/>
  <c r="N10" i="4"/>
  <c r="N11" i="4"/>
  <c r="N12" i="4"/>
  <c r="N13" i="4"/>
  <c r="N14" i="4"/>
  <c r="N50" i="4" l="1"/>
  <c r="K13" i="4"/>
  <c r="I13" i="4"/>
  <c r="I14" i="4"/>
  <c r="K11" i="4" l="1"/>
  <c r="I12" i="4"/>
  <c r="I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  <author>Mauricio Santos da Mota</author>
  </authors>
  <commentList>
    <comment ref="J2" authorId="0" shapeId="0" xr:uid="{F63A2DDE-4EC5-4CAF-AFA1-DE7BCA05C675}">
      <text>
        <r>
          <rPr>
            <sz val="10"/>
            <rFont val="Arial"/>
            <family val="2"/>
          </rPr>
          <t>EXEMPLO PREENCHIMENTO &gt;&gt;&gt;  2023.340</t>
        </r>
      </text>
    </comment>
    <comment ref="J3" authorId="0" shapeId="0" xr:uid="{8D18644D-E76B-40FF-B809-500DCEA0DF5B}">
      <text>
        <r>
          <rPr>
            <sz val="10"/>
            <rFont val="Arial"/>
            <family val="2"/>
          </rPr>
          <t>EXEMPLO PREENCHIMENTO &gt;&gt;&gt;  11/07/23</t>
        </r>
      </text>
    </comment>
    <comment ref="J4" authorId="0" shapeId="0" xr:uid="{CBD99DB1-E2FC-4168-94CD-CC848F1B49D9}">
      <text>
        <r>
          <rPr>
            <sz val="10"/>
            <rFont val="Arial"/>
            <family val="2"/>
          </rPr>
          <t>EXEMPLO PREENCHIMENTO &gt;&gt;&gt;  11/07/23</t>
        </r>
      </text>
    </comment>
    <comment ref="N4" authorId="0" shapeId="0" xr:uid="{0C9FC741-AE50-461B-9708-D79239CBB40C}">
      <text>
        <r>
          <rPr>
            <sz val="10"/>
            <rFont val="Arial"/>
            <family val="2"/>
          </rPr>
          <t>EXEMPLO PREENCHIMENTO &gt;&gt;&gt;  11/07/23</t>
        </r>
      </text>
    </comment>
    <comment ref="J6" authorId="0" shapeId="0" xr:uid="{602A7480-B66D-4295-A9FE-F480D687E929}">
      <text>
        <r>
          <rPr>
            <sz val="10"/>
            <rFont val="Arial"/>
            <family val="2"/>
          </rPr>
          <t>SELECIONE A OPÇÃO</t>
        </r>
      </text>
    </comment>
    <comment ref="N6" authorId="0" shapeId="0" xr:uid="{E15A07E0-DA20-479D-8EBD-498959CAD2FF}">
      <text>
        <r>
          <rPr>
            <sz val="10"/>
            <rFont val="Arial"/>
            <family val="2"/>
          </rPr>
          <t>SELECIONE A OPÇÃO</t>
        </r>
      </text>
    </comment>
    <comment ref="G11" authorId="1" shapeId="0" xr:uid="{00000000-0006-0000-0000-000007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G12" authorId="1" shapeId="0" xr:uid="{00000000-0006-0000-0000-000008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G13" authorId="1" shapeId="0" xr:uid="{00000000-0006-0000-0000-000009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G14" authorId="1" shapeId="0" xr:uid="{00000000-0006-0000-0000-00000A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A16" authorId="0" shapeId="0" xr:uid="{EE91F9AB-B8FA-4C61-91DD-C43F92714316}">
      <text>
        <r>
          <rPr>
            <sz val="10"/>
            <rFont val="Arial"/>
            <family val="2"/>
          </rPr>
          <t>OBRIGATÓRIO PREENCHER</t>
        </r>
      </text>
    </comment>
    <comment ref="H16" authorId="1" shapeId="0" xr:uid="{00000000-0006-0000-0000-00000D000000}">
      <text>
        <r>
          <rPr>
            <b/>
            <sz val="9"/>
            <color indexed="81"/>
            <rFont val="Segoe UI"/>
            <family val="2"/>
          </rPr>
          <t>PARA INCLUIR OUTRA LINHA ABAIXO.
PRESSIONE ( ALT + ENTER )</t>
        </r>
      </text>
    </comment>
    <comment ref="D18" authorId="0" shapeId="0" xr:uid="{17A0A9A8-798E-4AB1-B9A9-D99DE46C6EB5}">
      <text>
        <r>
          <rPr>
            <sz val="10"/>
            <rFont val="Arial"/>
            <family val="2"/>
          </rPr>
          <t>OBRIGATÓRIO PREENCHER</t>
        </r>
      </text>
    </comment>
    <comment ref="G18" authorId="0" shapeId="0" xr:uid="{871711D1-4365-460C-B601-605143E7F6E5}">
      <text>
        <r>
          <rPr>
            <sz val="10"/>
            <rFont val="Arial"/>
            <family val="2"/>
          </rPr>
          <t>Obrigatório preenchimento do ( I.E ) caso for "contribuinte"</t>
        </r>
      </text>
    </comment>
    <comment ref="G19" authorId="0" shapeId="0" xr:uid="{AAAA1FFE-4BFA-4A01-AD73-2AA8F33CB639}">
      <text>
        <r>
          <rPr>
            <sz val="10"/>
            <rFont val="Arial"/>
            <family val="2"/>
          </rPr>
          <t>OBRIGATÓRIO PREENCHER</t>
        </r>
      </text>
    </comment>
    <comment ref="D20" authorId="0" shapeId="0" xr:uid="{D175EC6F-8BE3-4C53-9471-DE096781178E}">
      <text>
        <r>
          <rPr>
            <sz val="10"/>
            <rFont val="Arial"/>
            <family val="2"/>
          </rPr>
          <t>OBRIGATÓRIO PREENCHER</t>
        </r>
      </text>
    </comment>
    <comment ref="G20" authorId="0" shapeId="0" xr:uid="{011442A1-9833-4621-BD7C-C266BA31130A}">
      <text>
        <r>
          <rPr>
            <sz val="10"/>
            <rFont val="Arial"/>
            <family val="2"/>
          </rPr>
          <t>OBRIGATÓRIO PREENCHER</t>
        </r>
      </text>
    </comment>
    <comment ref="G21" authorId="0" shapeId="0" xr:uid="{6ED6A6B0-2179-418D-BBB0-8516D5653EED}">
      <text>
        <r>
          <rPr>
            <sz val="10"/>
            <rFont val="Arial"/>
            <family val="2"/>
          </rPr>
          <t>OBRIGATÓRIO PREENCHER</t>
        </r>
      </text>
    </comment>
    <comment ref="B22" authorId="0" shapeId="0" xr:uid="{E29C36D0-9CB9-42BD-8065-C7F0A9D78799}">
      <text>
        <r>
          <rPr>
            <sz val="10"/>
            <rFont val="Arial"/>
            <family val="2"/>
          </rPr>
          <t>OBRIGATÓRIO PREENCHER</t>
        </r>
      </text>
    </comment>
    <comment ref="G22" authorId="0" shapeId="0" xr:uid="{6AE575F4-B403-4DA9-A691-EB066E5EB046}">
      <text>
        <r>
          <rPr>
            <sz val="10"/>
            <rFont val="Arial"/>
            <family val="2"/>
          </rPr>
          <t>OBRIGATÓRIO PREENCHER</t>
        </r>
      </text>
    </comment>
    <comment ref="H22" authorId="1" shapeId="0" xr:uid="{00000000-0006-0000-0000-00001C000000}">
      <text>
        <r>
          <rPr>
            <b/>
            <sz val="9"/>
            <color indexed="81"/>
            <rFont val="Segoe UI"/>
            <family val="2"/>
          </rPr>
          <t>PARA INCLUIR OUTRA LINHA ABAIXO.
PRESSIONE ( ALT + ENTER )</t>
        </r>
      </text>
    </comment>
    <comment ref="B23" authorId="0" shapeId="0" xr:uid="{30C42B48-B330-4573-A888-D56BB04BE352}">
      <text>
        <r>
          <rPr>
            <sz val="10"/>
            <rFont val="Arial"/>
            <family val="2"/>
          </rPr>
          <t>OBRIGATÓRIO PREENCHER</t>
        </r>
      </text>
    </comment>
    <comment ref="F29" authorId="1" shapeId="0" xr:uid="{00000000-0006-0000-0000-00001E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  <comment ref="G29" authorId="1" shapeId="0" xr:uid="{00000000-0006-0000-0000-00001F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  <comment ref="H29" authorId="1" shapeId="0" xr:uid="{00000000-0006-0000-0000-000020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  <comment ref="I29" authorId="1" shapeId="0" xr:uid="{00000000-0006-0000-0000-000021000000}">
      <text>
        <r>
          <rPr>
            <b/>
            <sz val="9"/>
            <color indexed="81"/>
            <rFont val="Segoe UI"/>
            <family val="2"/>
          </rPr>
          <t>SELECIONE A OPÇÃO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J29" authorId="1" shapeId="0" xr:uid="{00000000-0006-0000-0000-000022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8DDDF5-3394-49E8-804A-662ED0234214}" keepAlive="1" interval="30" name="Consulta - Fornecedores" description="Conexão com a consulta 'Fornecedores' na pasta de trabalho." type="5" refreshedVersion="8" refreshOnLoad="1" saveData="1">
    <dbPr connection="Provider=Microsoft.Mashup.OleDb.1;Data Source=$Workbook$;Location=Fornecedores;Extended Properties=&quot;&quot;" command="SELECT * FROM [Fornecedores]"/>
  </connection>
  <connection id="2" xr16:uid="{E2C4A300-802A-43FC-8619-E53F3ACFD744}" keepAlive="1" name="Consulta - Produtos (2)" description="Conexão com a consulta 'Produtos (2)' na pasta de trabalho." type="5" refreshedVersion="8" background="1" saveData="1">
    <dbPr connection="Provider=Microsoft.Mashup.OleDb.1;Data Source=$Workbook$;Location=&quot;Produtos (2)&quot;;Extended Properties=&quot;&quot;" command="SELECT * FROM [Produtos (2)]"/>
  </connection>
</connections>
</file>

<file path=xl/sharedStrings.xml><?xml version="1.0" encoding="utf-8"?>
<sst xmlns="http://schemas.openxmlformats.org/spreadsheetml/2006/main" count="3611" uniqueCount="2001">
  <si>
    <t>Proposta Comercial</t>
  </si>
  <si>
    <t>Data da Criação OC:</t>
  </si>
  <si>
    <t>Data Prazo de Entrega:</t>
  </si>
  <si>
    <t>Data Previsão de Fat:</t>
  </si>
  <si>
    <t xml:space="preserve"> </t>
  </si>
  <si>
    <t>Condição de Pag Compra:</t>
  </si>
  <si>
    <t>Condição de Pag Venda:</t>
  </si>
  <si>
    <t>Versão: OC_JUN_25</t>
  </si>
  <si>
    <t>DISTRIBUIDOR / FORNECEDOR</t>
  </si>
  <si>
    <t xml:space="preserve">INTERATELL </t>
  </si>
  <si>
    <t>INTERATELL - Coluna 1</t>
  </si>
  <si>
    <t>CNPJ - Coluna 2</t>
  </si>
  <si>
    <t>I.E - Coluna 3</t>
  </si>
  <si>
    <t>Email - Coluna 4</t>
  </si>
  <si>
    <t>Contato - Coluna 5</t>
  </si>
  <si>
    <t>Telefone 1 - Coluna 6</t>
  </si>
  <si>
    <t>Telefone 2 - Coluna 7</t>
  </si>
  <si>
    <t>Endereço - Coluna 8</t>
  </si>
  <si>
    <t>Número - Coluna 9</t>
  </si>
  <si>
    <t>Complemento - Coluna 10</t>
  </si>
  <si>
    <t>Bairro - Coluna 11</t>
  </si>
  <si>
    <t>Cidade - Coluna 12</t>
  </si>
  <si>
    <t>Estado - Coluna 13</t>
  </si>
  <si>
    <t>NATUREZA - Coluna 14</t>
  </si>
  <si>
    <t>CEP - Coluna 15</t>
  </si>
  <si>
    <t>FORMULA PROCV</t>
  </si>
  <si>
    <t/>
  </si>
  <si>
    <t>CNPJ:</t>
  </si>
  <si>
    <t>PARCELAS</t>
  </si>
  <si>
    <t xml:space="preserve">INTERATELL INTEGRAÇÕES E TELECOMUNICAÇÕES LTDA – BARUERI </t>
  </si>
  <si>
    <t>03.969.530/0001-30</t>
  </si>
  <si>
    <t>206.122.484.113</t>
  </si>
  <si>
    <t>financeiro@interatell.com.br</t>
  </si>
  <si>
    <t>Gabriella Amaro</t>
  </si>
  <si>
    <t>(11) 3303-3324</t>
  </si>
  <si>
    <t>Avenida Copacabana</t>
  </si>
  <si>
    <t>Andar 2 Conj. 201</t>
  </si>
  <si>
    <t>Empresarial 18 Do Forte</t>
  </si>
  <si>
    <t>Barueri</t>
  </si>
  <si>
    <t>SP</t>
  </si>
  <si>
    <t>BARUERI</t>
  </si>
  <si>
    <t>06.472-001</t>
  </si>
  <si>
    <t>CEP:</t>
  </si>
  <si>
    <t>I.E:</t>
  </si>
  <si>
    <t>COMPRA</t>
  </si>
  <si>
    <t>VENDA</t>
  </si>
  <si>
    <t>INTERATELL INTEGRACOES E TELECOMUNICACOES LTDA- ES</t>
  </si>
  <si>
    <t>03.969.530/0002-11</t>
  </si>
  <si>
    <t>084.000.44-9</t>
  </si>
  <si>
    <t>Rua Porto Alegre</t>
  </si>
  <si>
    <t>G.02 MOD02B</t>
  </si>
  <si>
    <t>Nova Zelândia</t>
  </si>
  <si>
    <t>Serra ES</t>
  </si>
  <si>
    <t>ES</t>
  </si>
  <si>
    <t xml:space="preserve">SERRA </t>
  </si>
  <si>
    <t>29.175-706</t>
  </si>
  <si>
    <t>Cidade:</t>
  </si>
  <si>
    <t>Estado:</t>
  </si>
  <si>
    <t>Contato:</t>
  </si>
  <si>
    <t>A28 - Para 28 Dias</t>
  </si>
  <si>
    <t>Bairro:</t>
  </si>
  <si>
    <t>Telefone:</t>
  </si>
  <si>
    <t>A30 - Para 30 Dias</t>
  </si>
  <si>
    <t>T54 - Para 30 Dias</t>
  </si>
  <si>
    <t>Endereço:</t>
  </si>
  <si>
    <t>Número:</t>
  </si>
  <si>
    <t>A45 - Para 45 Dias</t>
  </si>
  <si>
    <t>Complemento:</t>
  </si>
  <si>
    <t>E-mail:</t>
  </si>
  <si>
    <t>A60 - Para 60 Dias</t>
  </si>
  <si>
    <t>CLIENTE FINAL</t>
  </si>
  <si>
    <t>OBSERVAÇÃO DO COMPRADOR</t>
  </si>
  <si>
    <t>A74 - Para 75 Dias</t>
  </si>
  <si>
    <t>A90 - Para 90 Dias</t>
  </si>
  <si>
    <t xml:space="preserve">CEP: </t>
  </si>
  <si>
    <t>Contribuinte:</t>
  </si>
  <si>
    <t>B20 - Para 120 Dias</t>
  </si>
  <si>
    <t>B50 - Para 150 Dias</t>
  </si>
  <si>
    <t>S07 - 30/45/60 Dias</t>
  </si>
  <si>
    <t>S23 - 30/45/60 Dias</t>
  </si>
  <si>
    <t>S30 - 30/60/90 Dias</t>
  </si>
  <si>
    <t>S18 - 30/60/90 Dias</t>
  </si>
  <si>
    <t>OBSERVAÇÃO INTERNA</t>
  </si>
  <si>
    <t>S53 - Para 30/60/90/120</t>
  </si>
  <si>
    <t>S25 - Para 30/60/90/120</t>
  </si>
  <si>
    <t>P.O :</t>
  </si>
  <si>
    <t>Email:</t>
  </si>
  <si>
    <t>S75 - Para 1/30/60/90</t>
  </si>
  <si>
    <t>P66 - Para 1/30/60/90</t>
  </si>
  <si>
    <t xml:space="preserve">Gerente de Contas : </t>
  </si>
  <si>
    <t>000 - Para A Vista</t>
  </si>
  <si>
    <t>001 - Para 1 parcelas</t>
  </si>
  <si>
    <t>001 - Para 1 parcelas;</t>
  </si>
  <si>
    <t>002 - Para 2 parcelas</t>
  </si>
  <si>
    <t>003 - Para 3 parcelas</t>
  </si>
  <si>
    <t>004 - Para 4 parcelas</t>
  </si>
  <si>
    <t>CUSTO TOTAL</t>
  </si>
  <si>
    <t>VENDA TOTAL</t>
  </si>
  <si>
    <t>005 - Para 5 parcelas</t>
  </si>
  <si>
    <t>ITEM</t>
  </si>
  <si>
    <t>PART #</t>
  </si>
  <si>
    <t>Descrição do Produto</t>
  </si>
  <si>
    <t>LOCAL DO ESTOQUE</t>
  </si>
  <si>
    <t>CFOP</t>
  </si>
  <si>
    <t>NATUREZA</t>
  </si>
  <si>
    <t>FAMILIA</t>
  </si>
  <si>
    <t>NCM</t>
  </si>
  <si>
    <t>QTE</t>
  </si>
  <si>
    <t>Unitário (R$)</t>
  </si>
  <si>
    <t>Total (R$)</t>
  </si>
  <si>
    <t>006 - Para 6 parcelas</t>
  </si>
  <si>
    <t>008  Para 8 parcelas</t>
  </si>
  <si>
    <t>008 - Para 8 parcelas</t>
  </si>
  <si>
    <t>009 - Para 9 parcelas</t>
  </si>
  <si>
    <t>010 - Para 10 parcelas</t>
  </si>
  <si>
    <t>012 - Para 12 parcelas</t>
  </si>
  <si>
    <t>024 - Para 24 parcelas</t>
  </si>
  <si>
    <t>036 - Para 36 parcelas</t>
  </si>
  <si>
    <t>048 - Para 48 parcelas</t>
  </si>
  <si>
    <t>Espirito Santo</t>
  </si>
  <si>
    <t>NATUREZA HW</t>
  </si>
  <si>
    <t>NATUREZA SW</t>
  </si>
  <si>
    <t>NATUREZA LIC</t>
  </si>
  <si>
    <t>NATUREZA ST</t>
  </si>
  <si>
    <t>Aruba - Hardware - 2081927710</t>
  </si>
  <si>
    <t>Aruba - Hardware - 5193041599</t>
  </si>
  <si>
    <t>HW</t>
  </si>
  <si>
    <t>8517.62.59</t>
  </si>
  <si>
    <t>0000.00.00</t>
  </si>
  <si>
    <t>Aruba - Licença - 2081927725</t>
  </si>
  <si>
    <t>Checkpoint - Hardware - 5193055171</t>
  </si>
  <si>
    <t>SW</t>
  </si>
  <si>
    <t>Aruba - Software - 2081927797</t>
  </si>
  <si>
    <t>Cisco - Hardware - 5193055403</t>
  </si>
  <si>
    <t>LC</t>
  </si>
  <si>
    <t>Checkpoint - Hardware - 2081928362</t>
  </si>
  <si>
    <t>Fortinet - Hardware - 5193055497</t>
  </si>
  <si>
    <t>ST</t>
  </si>
  <si>
    <t>Checkpoint - Licença - 2081928392</t>
  </si>
  <si>
    <t>Furukawa - Hardware - 5226919005</t>
  </si>
  <si>
    <t>Checkpoint - Software - 2081928423</t>
  </si>
  <si>
    <t>HP - Hardware - 5193056281</t>
  </si>
  <si>
    <t>Cisco - Hardware - 2081928474</t>
  </si>
  <si>
    <t>HPE - Hardware - 5409033867</t>
  </si>
  <si>
    <t>Cisco - Licença - 2081928489</t>
  </si>
  <si>
    <t>Intelbras - Hardware - 5227063785</t>
  </si>
  <si>
    <t>Cisco - Software - 2081928499</t>
  </si>
  <si>
    <t>Logitech - Hardware - 5193056425</t>
  </si>
  <si>
    <t>Fortinet - Hardware - 2081928508</t>
  </si>
  <si>
    <t>Microsoft - Hardware - 5407897042</t>
  </si>
  <si>
    <t>Fortinet - Licença - 2081928516</t>
  </si>
  <si>
    <t>Outros - Fami- 5411396394</t>
  </si>
  <si>
    <t>Fortinet - Software - 2081928547</t>
  </si>
  <si>
    <t>Furukawa - Hardware - 2101313207</t>
  </si>
  <si>
    <t>Poly - Hardware - 5193057202</t>
  </si>
  <si>
    <t>Furukawa - Licença - 2101313397</t>
  </si>
  <si>
    <t>Yealink - Hardware - 5227091521</t>
  </si>
  <si>
    <t>Furukawa - Software - 2101314357</t>
  </si>
  <si>
    <t>HP - Hardware - 2081928554</t>
  </si>
  <si>
    <t>HP - Licença - 2081928561</t>
  </si>
  <si>
    <t>HP - Software - 2081928580</t>
  </si>
  <si>
    <t>HPE - Hardware - 2163576450</t>
  </si>
  <si>
    <t>HPE - Licença - 2163576529</t>
  </si>
  <si>
    <t>HPE - Software - 2163576959</t>
  </si>
  <si>
    <t>Intelbras - Hardware - 2101375261</t>
  </si>
  <si>
    <t>Intelbras - Licença - 2101375369</t>
  </si>
  <si>
    <t>Intelbras - Software - 2101375342</t>
  </si>
  <si>
    <t>Logitech - Hardware - 2081928583</t>
  </si>
  <si>
    <t>Logitech - Licença - 2081928600</t>
  </si>
  <si>
    <t>Logitech - Software - 2081928624</t>
  </si>
  <si>
    <t>Microsoft - Hardware - 2081928639</t>
  </si>
  <si>
    <t>Microsoft - Licença - 2081928677</t>
  </si>
  <si>
    <t>Microsoft - Software - 2081928701</t>
  </si>
  <si>
    <t>Outros - Fami - 2164790403</t>
  </si>
  <si>
    <t>Palo Alto - Hardware - 2081928719</t>
  </si>
  <si>
    <t>Palo Alto - Licença - 2081928724</t>
  </si>
  <si>
    <t>Palo Alto - Software - 2081928739</t>
  </si>
  <si>
    <t>Poly - Hardware - 2081928825</t>
  </si>
  <si>
    <t>Poly - Serviços - 2081928836</t>
  </si>
  <si>
    <t>Poly - Software - 2081928847</t>
  </si>
  <si>
    <t>Vmware - Sotfware - 2093070670</t>
  </si>
  <si>
    <t>Yealink - Hardware - 2101377412</t>
  </si>
  <si>
    <t>Yealink - Licença - 2101377485</t>
  </si>
  <si>
    <t>Yealink - Software - 2101377471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</si>
  <si>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</si>
  <si>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</si>
  <si>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</si>
  <si>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</si>
  <si>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</si>
  <si>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</si>
  <si>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</si>
  <si>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</si>
  <si>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</si>
  <si>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</si>
  <si>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</si>
  <si>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</si>
  <si>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</si>
  <si>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</si>
  <si>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</si>
  <si>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DISTRIBUIDOR / FORNECEDOR - Coluna 1</t>
  </si>
  <si>
    <t>CEP - Coluna 14</t>
  </si>
  <si>
    <t xml:space="preserve">Endereço Completo (Formula Concatenar) </t>
  </si>
  <si>
    <t>A C P M SERVICOS E COMERCIO - ES</t>
  </si>
  <si>
    <t>09.121.909/0001-72</t>
  </si>
  <si>
    <t>84520205</t>
  </si>
  <si>
    <t xml:space="preserve"> ana.pires@acorp.com.br
</t>
  </si>
  <si>
    <t>Ana Pires</t>
  </si>
  <si>
    <t xml:space="preserve">(11) 5535-3759 </t>
  </si>
  <si>
    <t xml:space="preserve">11 99992-2578 </t>
  </si>
  <si>
    <t>AV LAGOA ENCANTADA</t>
  </si>
  <si>
    <t>220</t>
  </si>
  <si>
    <t>ARMZ A6 SALA 11</t>
  </si>
  <si>
    <t>VALE ENCANTADO</t>
  </si>
  <si>
    <t>VILA VELHA</t>
  </si>
  <si>
    <t>29113-515</t>
  </si>
  <si>
    <t>AV LAGOA ENCANTADA, 220 - CEP: 29113-515 - ARMZ A6 SALA 11 , VALE ENCANTADO, VILA VELHA/ES</t>
  </si>
  <si>
    <t>AGIS EQUIPAMENTOS E SERVICOS DE INFORMATICA LTDA - ES</t>
  </si>
  <si>
    <t>68.993.641/0010-19</t>
  </si>
  <si>
    <t xml:space="preserve"> 083520856</t>
  </si>
  <si>
    <t>rafael.muroni@agis.com.br</t>
  </si>
  <si>
    <t>Rafael Muroni</t>
  </si>
  <si>
    <t>(19) 3756-4658</t>
  </si>
  <si>
    <t xml:space="preserve"> Rua SAMUEL MEIRA BRASIL</t>
  </si>
  <si>
    <t>394</t>
  </si>
  <si>
    <t xml:space="preserve">SALA 18 </t>
  </si>
  <si>
    <t>TAQUARA II</t>
  </si>
  <si>
    <t>SERRA</t>
  </si>
  <si>
    <t>29.167-650</t>
  </si>
  <si>
    <t xml:space="preserve"> Rua SAMUEL MEIRA BRASIL, 394 - CEP: 29.167-650 - SALA 18  , TAQUARA II, SERRA/ES</t>
  </si>
  <si>
    <t>AGIS EQUIPAMENTOS E SERVICOS DE INFORMATICA LTDA - ES - 2</t>
  </si>
  <si>
    <t>68.993.641/0008-02</t>
  </si>
  <si>
    <t xml:space="preserve"> 083005323</t>
  </si>
  <si>
    <t>ALGAR TELECOM S/A - MG</t>
  </si>
  <si>
    <t>71.208.516/0001-74</t>
  </si>
  <si>
    <t>7029809450010</t>
  </si>
  <si>
    <t>roberta@hyperparceiroalgar.com.br</t>
  </si>
  <si>
    <t xml:space="preserve">Roberta Asciutti </t>
  </si>
  <si>
    <t>(34) 3256-2961</t>
  </si>
  <si>
    <t>(11) 97380-6305</t>
  </si>
  <si>
    <t>RUA JOSE ALVES GARCIA</t>
  </si>
  <si>
    <t>415</t>
  </si>
  <si>
    <t>N/A</t>
  </si>
  <si>
    <t>Brasil</t>
  </si>
  <si>
    <t>Uberlândia</t>
  </si>
  <si>
    <t>MG</t>
  </si>
  <si>
    <t>38400-668</t>
  </si>
  <si>
    <t>RUA JOSE ALVES GARCIA, 415 - CEP: 38400-668 - N/A , Brasil, Uberlândia/MG</t>
  </si>
  <si>
    <t>ATIVA 1 TELECOM LTDA</t>
  </si>
  <si>
    <t>21.823.548/0001-01</t>
  </si>
  <si>
    <t>144.253.466.114</t>
  </si>
  <si>
    <t>edilene.martins@ativa1.com.br</t>
  </si>
  <si>
    <t>Ediline Marinho Martins</t>
  </si>
  <si>
    <t>(11) 5585-7771/2</t>
  </si>
  <si>
    <t>(11) 98522-2705</t>
  </si>
  <si>
    <t>AV. FAGUNDES FILHO</t>
  </si>
  <si>
    <t>486</t>
  </si>
  <si>
    <t>CJ.51</t>
  </si>
  <si>
    <t>VILA MONTE ALEGRE</t>
  </si>
  <si>
    <t>São Paulo</t>
  </si>
  <si>
    <t xml:space="preserve">04304-000 </t>
  </si>
  <si>
    <t>AV. FAGUNDES FILHO, 486 - CEP: 04304-000  - CJ.51 , VILA MONTE ALEGRE, São Paulo/SP</t>
  </si>
  <si>
    <t>ARMANDO TIVO – ME - SP</t>
  </si>
  <si>
    <t>05.962.772/0001-28</t>
  </si>
  <si>
    <t>140162971114</t>
  </si>
  <si>
    <t>armando@radarpro.com.br</t>
  </si>
  <si>
    <t>(11) 3259-2919</t>
  </si>
  <si>
    <t>(11) 98168-0000</t>
  </si>
  <si>
    <t>RUA MICHÉL CARRÉ</t>
  </si>
  <si>
    <t>195</t>
  </si>
  <si>
    <t>Jardim Niteroi</t>
  </si>
  <si>
    <t>04434-020</t>
  </si>
  <si>
    <t>RUA MICHÉL CARRÉ, 195 - CEP: 04434-020 - N/A , Jardim Niteroi, São Paulo/SP</t>
  </si>
  <si>
    <t>COGRA COMÉRCIO DE MÁQUINAS LTDA - ES</t>
  </si>
  <si>
    <t>06.064.114/0002-62</t>
  </si>
  <si>
    <t xml:space="preserve"> 082.722.98-6</t>
  </si>
  <si>
    <t>cristiane.aizza@cogra.com.br</t>
  </si>
  <si>
    <t xml:space="preserve">Christiane Aizza 
</t>
  </si>
  <si>
    <t xml:space="preserve">(11) 2821-8914
</t>
  </si>
  <si>
    <t>(11) 2821-8928</t>
  </si>
  <si>
    <t>RODOVIA GOVERNADOR MARIO COVAS</t>
  </si>
  <si>
    <t>10600</t>
  </si>
  <si>
    <t>KM 290 - GALPÃO 14 - SALA 03</t>
  </si>
  <si>
    <t>Serra do Anil</t>
  </si>
  <si>
    <t>Cariacica</t>
  </si>
  <si>
    <t xml:space="preserve">29147-030 </t>
  </si>
  <si>
    <t>RODOVIA GOVERNADOR MARIO COVAS, 10600 - CEP: 29147-030  - KM 290 - GALPÃO 14 - SALA 03 , Serra do Anil, Cariacica/ES</t>
  </si>
  <si>
    <t>FCP SERVICES SOLUÇÕES INTEGRADAS ME (PERALTA) - SP</t>
  </si>
  <si>
    <t>29.738.462/0001-92</t>
  </si>
  <si>
    <t>119069586118</t>
  </si>
  <si>
    <t>francisco.peralta@fcpservices.com.br</t>
  </si>
  <si>
    <t xml:space="preserve"> Francisco Peralta</t>
  </si>
  <si>
    <t>(11) 96744-4586</t>
  </si>
  <si>
    <t>RUA MIGUEL YUNES</t>
  </si>
  <si>
    <t>545</t>
  </si>
  <si>
    <t>Apt 75 Torre 1</t>
  </si>
  <si>
    <t>Usina Piratininga</t>
  </si>
  <si>
    <t>SÃO PAULO</t>
  </si>
  <si>
    <t>04444-000</t>
  </si>
  <si>
    <t>RUA MIGUEL YUNES, 545 - CEP: 04444-000 - Apt 75 Torre 1 , Usina Piratininga, SÃO PAULO/SP</t>
  </si>
  <si>
    <t>GANESH TECHNOLOGY COMERCIO E SERVICOS DE INFORMATICA LTDA - SP</t>
  </si>
  <si>
    <t>08.636.630/0001-69</t>
  </si>
  <si>
    <t>149580828118</t>
  </si>
  <si>
    <t>FINANCEIRO@GANTECH.COM.BR</t>
  </si>
  <si>
    <t>(11) 4062-0039</t>
  </si>
  <si>
    <t>(11) 3877-0745</t>
  </si>
  <si>
    <t>AVENIDA FRANCISCO MATARAZZO</t>
  </si>
  <si>
    <t>1752</t>
  </si>
  <si>
    <t>SALA 1705</t>
  </si>
  <si>
    <t>ÁGUA BRANCA</t>
  </si>
  <si>
    <t>05.001-200</t>
  </si>
  <si>
    <t>AVENIDA FRANCISCO MATARAZZO, 1752 - CEP: 05.001-200 - SALA 1705 , ÁGUA BRANCA, São Paulo/SP</t>
  </si>
  <si>
    <t>INGRAM MICRO BRASIL LTDA - ES -800</t>
  </si>
  <si>
    <t>01.771.935/0008-00</t>
  </si>
  <si>
    <t>082981485</t>
  </si>
  <si>
    <t>johnatan.debroi@ingrammicro.com</t>
  </si>
  <si>
    <t>Johnatan Debroi</t>
  </si>
  <si>
    <t xml:space="preserve">(11) 2078-4677  </t>
  </si>
  <si>
    <t>PORTO ALEGRE</t>
  </si>
  <si>
    <t>307</t>
  </si>
  <si>
    <t xml:space="preserve">GALPÃO 01 MODULO 04 PARTE B ÁREA EU V CIVIT II </t>
  </si>
  <si>
    <t>NOVA ZELÂNDIA</t>
  </si>
  <si>
    <t>29175-706</t>
  </si>
  <si>
    <t>PORTO ALEGRE, 307 - CEP: 29175-706 - GALPÃO 01 MODULO 04 PARTE B ÁREA EU V CIVIT II  , NOVA ZELÂNDIA, SERRA/ES</t>
  </si>
  <si>
    <t>INGRAM MICRO BRASIL LTDA - ES - 025</t>
  </si>
  <si>
    <t>01.771.935/0010-25</t>
  </si>
  <si>
    <t xml:space="preserve">	 083141588</t>
  </si>
  <si>
    <t>INGRAM MICRO BRASIL LTDA - SP - 134</t>
  </si>
  <si>
    <t xml:space="preserve">01.771.935/0001-34 </t>
  </si>
  <si>
    <t>114.234.436.117</t>
  </si>
  <si>
    <t>AV DOUTOR CHUCRI ZAIDAN</t>
  </si>
  <si>
    <t>1240</t>
  </si>
  <si>
    <t>CONJ 2102 2104 ANDAR 21</t>
  </si>
  <si>
    <t>VILA SAO FRANCISCO (ZONA SUL)</t>
  </si>
  <si>
    <t>SAO PAULO</t>
  </si>
  <si>
    <t>04.711-130</t>
  </si>
  <si>
    <t>AV DOUTOR CHUCRI ZAIDAN, 1240 - CEP: 04.711-130 - CONJ 2102 2104 ANDAR 21 , VILA SAO FRANCISCO (ZONA SUL), SAO PAULO/SP</t>
  </si>
  <si>
    <t>INGRAM MICRO BRASIL LTDA - SP - 610</t>
  </si>
  <si>
    <t>01.771.935/0016-10</t>
  </si>
  <si>
    <t>206546140117</t>
  </si>
  <si>
    <t>AV PIRACEMA</t>
  </si>
  <si>
    <t>1341</t>
  </si>
  <si>
    <t>GALPÕES 03 E 04</t>
  </si>
  <si>
    <t>TAMBORÉ</t>
  </si>
  <si>
    <t>06460-030</t>
  </si>
  <si>
    <t>AV PIRACEMA, 1341 - CEP: 06460-030 - GALPÕES 03 E 04 , TAMBORÉ, BARUERI/SP</t>
  </si>
  <si>
    <t>INGRAM MICRO BRASIL LTDA - SP - 215</t>
  </si>
  <si>
    <t>01.771.935/0002-15</t>
  </si>
  <si>
    <t>206074912112</t>
  </si>
  <si>
    <t>(11) 3677-5860</t>
  </si>
  <si>
    <t>206122484113</t>
  </si>
  <si>
    <t>Gustavo Xavier</t>
  </si>
  <si>
    <t>(11) 3303-3325</t>
  </si>
  <si>
    <t>(11) 98587-1649</t>
  </si>
  <si>
    <t>190</t>
  </si>
  <si>
    <t>Avenida Copacabana, 190 - CEP: 06.472-001 - Andar 2 Conj. 201 , Empresarial 18 Do Forte, Barueri/SP</t>
  </si>
  <si>
    <t xml:space="preserve">INTERATELL TELECOMUNICAÇÕES E DESENVOLVIMENTO LTDA </t>
  </si>
  <si>
    <t>05.374.807/0001-08</t>
  </si>
  <si>
    <t>116.501.803.116</t>
  </si>
  <si>
    <t>RUA HENRIQUE SERTÓRIO</t>
  </si>
  <si>
    <t>564</t>
  </si>
  <si>
    <t>SALA 1207, 12 ANDAR</t>
  </si>
  <si>
    <t>TATUAPÉ</t>
  </si>
  <si>
    <t>03.066-065</t>
  </si>
  <si>
    <t>RUA HENRIQUE SERTÓRIO, 564 - CEP: 03.066-065 - SALA 1207, 12 ANDAR , TATUAPÉ, SÃO PAULO/SP</t>
  </si>
  <si>
    <t>INTERATELL INTEGRACOES E TELECOMUNICACOES LTDA - ES</t>
  </si>
  <si>
    <t xml:space="preserve">03.969.530/0002-11 </t>
  </si>
  <si>
    <t xml:space="preserve">RUA PROJETADA </t>
  </si>
  <si>
    <t>280</t>
  </si>
  <si>
    <t>SALA 3G</t>
  </si>
  <si>
    <t>POLO EMPRESARIAL NOVO MEXICO</t>
  </si>
  <si>
    <t xml:space="preserve">VILA VELHA </t>
  </si>
  <si>
    <t>RUA PROJETADA , 280 - CEP: 084.000.44-9 - SALA 3G , POLO EMPRESARIAL NOVO MEXICO, VILA VELHA /ES</t>
  </si>
  <si>
    <t>I4S SERVIÇOS E SOLUÇÕES INTELIGENTES LTDA</t>
  </si>
  <si>
    <t>19.952.413/0001-02</t>
  </si>
  <si>
    <t>206.424.444.112</t>
  </si>
  <si>
    <t>AV COPACABANA</t>
  </si>
  <si>
    <t>177</t>
  </si>
  <si>
    <t xml:space="preserve">SALA 88 GAMA OFFICES </t>
  </si>
  <si>
    <t>DEZOITO DO FORTE EMPRESARIAL</t>
  </si>
  <si>
    <t>AV COPACABANA, 177 - CEP: 06.472-001 - SALA 88 GAMA OFFICES  , DEZOITO DO FORTE EMPRESARIAL, BARUERI/SP</t>
  </si>
  <si>
    <t>JBO COMERCIO E SERVIÇOS DE COMUNICAÇÃO LTDA - SP</t>
  </si>
  <si>
    <t>27.212.089/0001-06</t>
  </si>
  <si>
    <t>635958190110</t>
  </si>
  <si>
    <t xml:space="preserve">icaro@jbobrasil.com.br </t>
  </si>
  <si>
    <t>ÍCARO LUIZ</t>
  </si>
  <si>
    <t xml:space="preserve"> (11) 4177-2120 </t>
  </si>
  <si>
    <t xml:space="preserve">(11) 94189-6563 </t>
  </si>
  <si>
    <t>AVENIDA VIVALDI (VL. VIVALDI)</t>
  </si>
  <si>
    <t>818</t>
  </si>
  <si>
    <t>RUDGE RAMOS</t>
  </si>
  <si>
    <t>SÃO BERNARDO DO CAMPO</t>
  </si>
  <si>
    <t>09.617-000</t>
  </si>
  <si>
    <t>AVENIDA VIVALDI (VL. VIVALDI), 818 - CEP: 09.617-000 - N/A , RUDGE RAMOS, SÃO BERNARDO DO CAMPO/SP</t>
  </si>
  <si>
    <t>KLINT DISTRIBUIDORA DE FIOS E CABOS LTDA - SP</t>
  </si>
  <si>
    <t>02.195.445/0001-08</t>
  </si>
  <si>
    <t>387.394.816.117</t>
  </si>
  <si>
    <t>andressa@klint.com.br</t>
  </si>
  <si>
    <t>Andressa Assiz Bezerra</t>
  </si>
  <si>
    <t xml:space="preserve">(19) 3773-9300 </t>
  </si>
  <si>
    <t>RUA MARGINAL EMICOL</t>
  </si>
  <si>
    <t>S/N</t>
  </si>
  <si>
    <t>COND WEST PARK INDUSTRIALLOTE 07 08 ML 06 QUADRAA</t>
  </si>
  <si>
    <t>Jardim Emicol</t>
  </si>
  <si>
    <t>ITU</t>
  </si>
  <si>
    <t>13312-820</t>
  </si>
  <si>
    <t>RUA MARGINAL EMICOL, S/N - CEP: 13312-820 - COND WEST PARK INDUSTRIALLOTE 07 08 ML 06 QUADRAA , Jardim Emicol, ITU/SP</t>
  </si>
  <si>
    <t>LHD COMERCIO DE EQUIPAMENTOS ELETRÔNICOS LTDA - SP</t>
  </si>
  <si>
    <t>14.619.477/0001-64</t>
  </si>
  <si>
    <t>146720201116</t>
  </si>
  <si>
    <t>rafaelferraro@lhdtelecom.com.br</t>
  </si>
  <si>
    <t xml:space="preserve">Rafael Ferraro
</t>
  </si>
  <si>
    <t xml:space="preserve">(11) 2973-3249 </t>
  </si>
  <si>
    <t xml:space="preserve">(11) 9790-5616 </t>
  </si>
  <si>
    <t>RUA MARIA CURUPAITI</t>
  </si>
  <si>
    <t>441</t>
  </si>
  <si>
    <t>CONJ. 2007 G</t>
  </si>
  <si>
    <t>VILA ESTER (ZONA NORTE)</t>
  </si>
  <si>
    <t>02452-001</t>
  </si>
  <si>
    <t>RUA MARIA CURUPAITI, 441 - CEP: 02452-001 - CONJ. 2007 G , VILA ESTER (ZONA NORTE), SÃO PAULO/SP</t>
  </si>
  <si>
    <t>OTG - UXOPEN SOLUTION INVENT COMPANY LTDA - SP</t>
  </si>
  <si>
    <t>04.903.083/0002-60</t>
  </si>
  <si>
    <t>206396111117</t>
  </si>
  <si>
    <t xml:space="preserve"> larissa.madrid@otg.com.br</t>
  </si>
  <si>
    <t xml:space="preserve"> Larissa Madrid</t>
  </si>
  <si>
    <t>(11) 97270-0558</t>
  </si>
  <si>
    <t>Alameda GRAJAU</t>
  </si>
  <si>
    <t>219</t>
  </si>
  <si>
    <t xml:space="preserve">Alphaville Centro Industrial </t>
  </si>
  <si>
    <t>06.454-050</t>
  </si>
  <si>
    <t>Alameda GRAJAU, 219 - CEP: 06.454-050 - N/A , Alphaville Centro Industrial , Barueri/SP</t>
  </si>
  <si>
    <t>PCS SOFTWARE E SERVIÇOS LTDA - SP</t>
  </si>
  <si>
    <t>05.850.893/0001-88</t>
  </si>
  <si>
    <t>148346325113</t>
  </si>
  <si>
    <t>demys.hauk@pcsbrasil.com.br</t>
  </si>
  <si>
    <t xml:space="preserve">Demys Hauk 
</t>
  </si>
  <si>
    <t>(11)3075-2933</t>
  </si>
  <si>
    <t>(11) 97763-8000</t>
  </si>
  <si>
    <t>RUA MINISTRO NELSON HUNGRIA</t>
  </si>
  <si>
    <t>239</t>
  </si>
  <si>
    <t>CONJ. 05</t>
  </si>
  <si>
    <t>VILA TRAMONTANO</t>
  </si>
  <si>
    <t>05.690-050</t>
  </si>
  <si>
    <t>RUA MINISTRO NELSON HUNGRIA, 239 - CEP: 05.690-050 - CONJ. 05 , VILA TRAMONTANO, SÃO PAULO/SP</t>
  </si>
  <si>
    <t>PORTAL DO CISCO COMÉRCIO DE EQUIPAMENTOS ELETRONICOS LTDA</t>
  </si>
  <si>
    <t>07.457.931/0001-62</t>
  </si>
  <si>
    <t>117080990111</t>
  </si>
  <si>
    <t>rctelecom@hotmail.com</t>
  </si>
  <si>
    <t xml:space="preserve">Rodolfo Cardoso
</t>
  </si>
  <si>
    <t xml:space="preserve">(11) 2546-4260 </t>
  </si>
  <si>
    <t>(11) 99232-6066</t>
  </si>
  <si>
    <t>Rua RUI PIROZZELLI</t>
  </si>
  <si>
    <t>52</t>
  </si>
  <si>
    <t>Sala 1</t>
  </si>
  <si>
    <t>Jd. Matarazzo</t>
  </si>
  <si>
    <t>03.811-020</t>
  </si>
  <si>
    <t>Rua RUI PIROZZELLI, 52 - CEP: 03.811-020 - Sala 1 , Jd. Matarazzo, São Paulo/SP</t>
  </si>
  <si>
    <t>ROUTERLINK IT SOLUTIONS AND SERVICES LTDA - SP</t>
  </si>
  <si>
    <t>05.032.228/0001-87</t>
  </si>
  <si>
    <t>116370080116</t>
  </si>
  <si>
    <t>ricardo.shiguedomi@routerlink.com.br</t>
  </si>
  <si>
    <t>Ricardo Shiguedomi</t>
  </si>
  <si>
    <t xml:space="preserve">(11) 3164-5706 </t>
  </si>
  <si>
    <t>(11) 5586-5656</t>
  </si>
  <si>
    <t>AVENIDA FAGUNDES FILHO</t>
  </si>
  <si>
    <t>191</t>
  </si>
  <si>
    <t>SALA 151 E152</t>
  </si>
  <si>
    <t>04.304-010</t>
  </si>
  <si>
    <t>AVENIDA FAGUNDES FILHO, 191 - CEP: 04.304-010 - SALA 151 E152 , VILA MONTE ALEGRE, SÃO PAULO/SP</t>
  </si>
  <si>
    <t>R S INFORMATICA SOLUCOES EM TECNOLOGIA</t>
  </si>
  <si>
    <t>21.460.930/0001-06</t>
  </si>
  <si>
    <t>05.434.727-0</t>
  </si>
  <si>
    <t>ronei@rsinformaticati.com.br</t>
  </si>
  <si>
    <t>Ronei Silva</t>
  </si>
  <si>
    <t>(92) 99131-6896</t>
  </si>
  <si>
    <t>AV BOM JESUS</t>
  </si>
  <si>
    <t>485</t>
  </si>
  <si>
    <t xml:space="preserve">COLONIA TERRA NOVA </t>
  </si>
  <si>
    <t>MANAUS</t>
  </si>
  <si>
    <t>AM</t>
  </si>
  <si>
    <t xml:space="preserve">69.015-300 </t>
  </si>
  <si>
    <t>AV BOM JESUS, 485 - CEP: 69.015-300  -  , COLONIA TERRA NOVA , MANAUS/AM</t>
  </si>
  <si>
    <t>SCANSOURCE BRASIL DISTRIBUIDORA DE TECNOLOGIAS - ES</t>
  </si>
  <si>
    <t>05.607.657/0010-26</t>
  </si>
  <si>
    <t>083152890</t>
  </si>
  <si>
    <t>Aline.Nascimento@scansource.com</t>
  </si>
  <si>
    <t xml:space="preserve">Aline V. Nascimento </t>
  </si>
  <si>
    <t>(11) 3049-0322</t>
  </si>
  <si>
    <t>(11) 99731-9477</t>
  </si>
  <si>
    <t xml:space="preserve">R PORTO ALEGRE </t>
  </si>
  <si>
    <t xml:space="preserve">GALPAO2 ARMZ 2 MODULO 01 PARTE A AREA UE V </t>
  </si>
  <si>
    <t xml:space="preserve">NOVA ZELANDIA </t>
  </si>
  <si>
    <t>29173-795</t>
  </si>
  <si>
    <t>R PORTO ALEGRE , 307 - CEP: 29173-795 - GALPAO2 ARMZ 2 MODULO 01 PARTE A AREA UE V  , NOVA ZELANDIA , SERRA/ES</t>
  </si>
  <si>
    <t>SCANSOURCE BRASIL DISTRIBUIDORA DE TECNOLOGIAS - GO</t>
  </si>
  <si>
    <t>05.607.657/0009-92</t>
  </si>
  <si>
    <t>103684948</t>
  </si>
  <si>
    <t>Av. Independência</t>
  </si>
  <si>
    <t>1146</t>
  </si>
  <si>
    <t>LTS 20/21</t>
  </si>
  <si>
    <t>St. Leste Vila Nova</t>
  </si>
  <si>
    <t>Goiânia</t>
  </si>
  <si>
    <t>GO</t>
  </si>
  <si>
    <t>74645-010</t>
  </si>
  <si>
    <t>Av. Independência, 1146 - CEP: 74645-010 - LTS 20/21 , St. Leste Vila Nova, Goiânia/GO</t>
  </si>
  <si>
    <t>SCANSOURCE BRASIL DISTRIBUIDORA DE TECNOLOGIAS - PR</t>
  </si>
  <si>
    <t>05.607.657/0001-35</t>
  </si>
  <si>
    <t>90295527137</t>
  </si>
  <si>
    <t>AV. RUI BARBOSA</t>
  </si>
  <si>
    <t>2529</t>
  </si>
  <si>
    <t>GALPÃO 11 E 12</t>
  </si>
  <si>
    <t>JARDIM IPÊ</t>
  </si>
  <si>
    <t>SÃO JOSÉ DOS PINHAIS</t>
  </si>
  <si>
    <t>PR</t>
  </si>
  <si>
    <t>83055-320</t>
  </si>
  <si>
    <t>AV. RUI BARBOSA, 2529 - CEP: 83055-320 - GALPÃO 11 E 12 , JARDIM IPÊ, SÃO JOSÉ DOS PINHAIS/PR</t>
  </si>
  <si>
    <t>SCANSOURCE BRASIL DISTRIBUIDORA DE TECNOLOGIAS - SC</t>
  </si>
  <si>
    <t>05.607.657/0008-01</t>
  </si>
  <si>
    <t>257721789</t>
  </si>
  <si>
    <t>RUA DOMINGOS RAMPELOTTI</t>
  </si>
  <si>
    <t>3.501</t>
  </si>
  <si>
    <t>MODULO 12 A E B</t>
  </si>
  <si>
    <t>SÃO ROQUE</t>
  </si>
  <si>
    <t xml:space="preserve"> Itajaí</t>
  </si>
  <si>
    <t>SC</t>
  </si>
  <si>
    <t>88307-102</t>
  </si>
  <si>
    <t>RUA DOMINGOS RAMPELOTTI, 3.501 - CEP: 88307-102 - MODULO 12 A E B , SÃO ROQUE,  Itajaí/SC</t>
  </si>
  <si>
    <t>SCANSOURCE BRASIL DISTRIBUIDORA DE TECNOLOGIAS - SP</t>
  </si>
  <si>
    <t>05.607.657/0011-07</t>
  </si>
  <si>
    <t>241136098115</t>
  </si>
  <si>
    <t>AVENIDA DOUTOR ANTONIO JOAO ABDALLA</t>
  </si>
  <si>
    <t>260</t>
  </si>
  <si>
    <t>LOTE AREA A BLOCO 200 SALA 1</t>
  </si>
  <si>
    <t>CRISTAIS</t>
  </si>
  <si>
    <t>CAJAMAR</t>
  </si>
  <si>
    <t>07776-700</t>
  </si>
  <si>
    <t>AVENIDA DOUTOR ANTONIO JOAO ABDALLA, 260 - CEP: 07776-700 - LOTE AREA A BLOCO 200 SALA 1 , CRISTAIS, CAJAMAR/SP</t>
  </si>
  <si>
    <t>SIS COMERCIO E SERVICOS DE COMUNICACAO LTDA</t>
  </si>
  <si>
    <t>44.265.951/0001-68</t>
  </si>
  <si>
    <t>121.402.720.113</t>
  </si>
  <si>
    <t>danilo@sisengenharia.com.b</t>
  </si>
  <si>
    <t>Danilo Oliveira</t>
  </si>
  <si>
    <t>(11) 4451-5110</t>
  </si>
  <si>
    <t>(11)  9894-0899</t>
  </si>
  <si>
    <t>AV DOM PEDRO I</t>
  </si>
  <si>
    <t>2460</t>
  </si>
  <si>
    <t>SALA 11</t>
  </si>
  <si>
    <t>SANTO ANDRE</t>
  </si>
  <si>
    <t>09.130-400</t>
  </si>
  <si>
    <t>AV DOM PEDRO I, 2460 - CEP: 09.130-400 - SALA 11 , SANTO ANDRE, SÃO PAULO/SP</t>
  </si>
  <si>
    <t>SUMAUMA COMPUTADOES E TELECOMUNICAÇÕES LTDA - SP</t>
  </si>
  <si>
    <t>01.230.666/0001-07</t>
  </si>
  <si>
    <t>114686959116</t>
  </si>
  <si>
    <t>denisarantes@sumaumatelecom.com.br</t>
  </si>
  <si>
    <t xml:space="preserve">Denis V.Arantes
</t>
  </si>
  <si>
    <t>(11) 3966-2454</t>
  </si>
  <si>
    <t>(11) 99663-0944</t>
  </si>
  <si>
    <t>RUA MARAMBAIA</t>
  </si>
  <si>
    <t>424</t>
  </si>
  <si>
    <t>SALA 14</t>
  </si>
  <si>
    <t>Casa Verde</t>
  </si>
  <si>
    <t>02513-000</t>
  </si>
  <si>
    <t>RUA MARAMBAIA, 424 - CEP: 02513-000 - SALA 14 , Casa Verde, SÃO PAULO/SP</t>
  </si>
  <si>
    <t>SUMUS INFORMATICA E COMERCIO LTDA</t>
  </si>
  <si>
    <t>56.806.920/0001-56</t>
  </si>
  <si>
    <t>115306495119</t>
  </si>
  <si>
    <t>rodrigo.regis@sumus.com.br</t>
  </si>
  <si>
    <t xml:space="preserve">Rodrigo Regis
</t>
  </si>
  <si>
    <t>(11) 2847-1816</t>
  </si>
  <si>
    <t>RUA CANARIO</t>
  </si>
  <si>
    <t>615</t>
  </si>
  <si>
    <t xml:space="preserve">TERREO E 1 ANDAR </t>
  </si>
  <si>
    <t>MOEMA</t>
  </si>
  <si>
    <t xml:space="preserve">04.521-002 </t>
  </si>
  <si>
    <t>RUA CANARIO, 615 - CEP: 04.521-002  - TERREO E 1 ANDAR  , MOEMA, SÃO PAULO/SP</t>
  </si>
  <si>
    <t>PCI PROTEÇÃO CABOS INFORMÁTICA LTDA</t>
  </si>
  <si>
    <t xml:space="preserve">	07.870.634/0001-44</t>
  </si>
  <si>
    <t>148.096.142.112</t>
  </si>
  <si>
    <t>vendas@primecabos.com.br</t>
  </si>
  <si>
    <t xml:space="preserve">Jose Carlos Alves
</t>
  </si>
  <si>
    <t xml:space="preserve">(11) 3362-1313 </t>
  </si>
  <si>
    <t>RUA GAL OSORIO</t>
  </si>
  <si>
    <t>330</t>
  </si>
  <si>
    <t xml:space="preserve">SANTA EFIGENIA </t>
  </si>
  <si>
    <t xml:space="preserve">SAO PAULO </t>
  </si>
  <si>
    <t>01.213-000</t>
  </si>
  <si>
    <t>RUA GAL OSORIO, 330 - CEP: 01.213-000 -  , SANTA EFIGENIA , SAO PAULO /SP</t>
  </si>
  <si>
    <t>SYMA SOLUTIONS/MATRIZ</t>
  </si>
  <si>
    <t>04.912.543/0001-36</t>
  </si>
  <si>
    <t>9025702503</t>
  </si>
  <si>
    <t>hugo@syma.com.br</t>
  </si>
  <si>
    <t>Hugo Yanaka</t>
  </si>
  <si>
    <t>(44) 4009-9110</t>
  </si>
  <si>
    <t>(44) 99921-9515</t>
  </si>
  <si>
    <t>AV. JOÃO PAULINO VIEIRA FILHO</t>
  </si>
  <si>
    <t>625</t>
  </si>
  <si>
    <t>SALA 21</t>
  </si>
  <si>
    <t>Zona Sete</t>
  </si>
  <si>
    <t>Maringá</t>
  </si>
  <si>
    <t>87020-015</t>
  </si>
  <si>
    <t>AV. JOÃO PAULINO VIEIRA FILHO, 625 - CEP: 87020-015 - SALA 21 , Zona Sete, Maringá/PR</t>
  </si>
  <si>
    <t>TECNOAMBAR ELETRICIDADE E AUTOMAÇÃO LTDA – ME - SP</t>
  </si>
  <si>
    <t>24.666.442/0001-30</t>
  </si>
  <si>
    <t>395056075110</t>
  </si>
  <si>
    <t>carlos.varoni@tecnoambar.com.br</t>
  </si>
  <si>
    <t>Carlos Varoni</t>
  </si>
  <si>
    <t>(19) 3837-1874</t>
  </si>
  <si>
    <t>(19) 99998-3464</t>
  </si>
  <si>
    <t>AV. ALEXANDRE MARION</t>
  </si>
  <si>
    <t>707</t>
  </si>
  <si>
    <t>Jardim Santa Mercedes</t>
  </si>
  <si>
    <t>Jaguariúna</t>
  </si>
  <si>
    <t>13.912-544</t>
  </si>
  <si>
    <t>AV. ALEXANDRE MARION, 707 - CEP: 13.912-544 - N/A , Jardim Santa Mercedes, Jaguariúna/SP</t>
  </si>
  <si>
    <t>UNENTEL SOLUÇÕES TECNOLÓGICAS LTDA - BA</t>
  </si>
  <si>
    <t>19.557.079/0001-84</t>
  </si>
  <si>
    <t>805011364114</t>
  </si>
  <si>
    <t>vera.thomaz@unentel.com.br</t>
  </si>
  <si>
    <t>Dayanna Rosa</t>
  </si>
  <si>
    <t xml:space="preserve">(11) 3201-7070 </t>
  </si>
  <si>
    <t xml:space="preserve">(11) 9 3317-6479 </t>
  </si>
  <si>
    <t>AVENIDA SANTIAGO DE COMPOSTELA</t>
  </si>
  <si>
    <t>192</t>
  </si>
  <si>
    <t>LJ</t>
  </si>
  <si>
    <t>PARQUE BELA VISTA</t>
  </si>
  <si>
    <t>SALVADOR</t>
  </si>
  <si>
    <t>BA</t>
  </si>
  <si>
    <t>40.279-150</t>
  </si>
  <si>
    <t>AVENIDA SANTIAGO DE COMPOSTELA, 192 - CEP: 40.279-150 - LJ , PARQUE BELA VISTA, SALVADOR/BA</t>
  </si>
  <si>
    <t>UNENTEL SOLUÇÕES TECNOLÓGICAS LTDA - ES</t>
  </si>
  <si>
    <t>19.557.079/0003-46</t>
  </si>
  <si>
    <t>083320385</t>
  </si>
  <si>
    <t>KM 279, SALA 13</t>
  </si>
  <si>
    <t>TIMS</t>
  </si>
  <si>
    <t>29161-382</t>
  </si>
  <si>
    <t>RODOVIA GOVERNADOR MARIO COVAS, S/N - CEP: 29161-382 - KM 279, SALA 13 , TIMS, SERRA/ES</t>
  </si>
  <si>
    <t>WESTCON BRASIL LTDA - ES</t>
  </si>
  <si>
    <t>28.268.233/0007-84</t>
  </si>
  <si>
    <t>82585440</t>
  </si>
  <si>
    <t>peterson.amancio@tdsynnex.com</t>
  </si>
  <si>
    <t>Peterson Amancio</t>
  </si>
  <si>
    <t xml:space="preserve">(11) 5525- 7989 </t>
  </si>
  <si>
    <t>(11) 99945-4253</t>
  </si>
  <si>
    <t>AV. ACESSO RODOVIÁRIO</t>
  </si>
  <si>
    <t>Q8, MÓDULO M-01, SALA 02</t>
  </si>
  <si>
    <t>29161-376</t>
  </si>
  <si>
    <t>AV. ACESSO RODOVIÁRIO, S/N - CEP: 29161-376 - Q8, MÓDULO M-01, SALA 02 , TIMS, SERRA/ES</t>
  </si>
  <si>
    <t>WESTCON BRASIL LTDA - RJ</t>
  </si>
  <si>
    <t>28.268.233/0006-01</t>
  </si>
  <si>
    <t>78597224</t>
  </si>
  <si>
    <t>RUA VICTOR CIVITA</t>
  </si>
  <si>
    <t>77</t>
  </si>
  <si>
    <t>BLOCO 1 - SALA 201</t>
  </si>
  <si>
    <t>Jacarepagua</t>
  </si>
  <si>
    <t>RIO DE JANEIRO</t>
  </si>
  <si>
    <t>RJ</t>
  </si>
  <si>
    <t>22775-022</t>
  </si>
  <si>
    <t>RUA VICTOR CIVITA, 77 - CEP: 22775-022 - BLOCO 1 - SALA 201 , Jacarepagua, RIO DE JANEIRO/RJ</t>
  </si>
  <si>
    <t>WESTCON BRASIL LTDA - SP</t>
  </si>
  <si>
    <t>28.268.233/0008-65</t>
  </si>
  <si>
    <t>808011045110</t>
  </si>
  <si>
    <t>RUA JOSÉ SEMIÃO RODRIGUES AGOSTINHO</t>
  </si>
  <si>
    <t>1370</t>
  </si>
  <si>
    <t xml:space="preserve">GALPÃO 43 </t>
  </si>
  <si>
    <t>ÁGUA ESPRAIADA</t>
  </si>
  <si>
    <t>EMBU DAS ARTES</t>
  </si>
  <si>
    <t>06833-370</t>
  </si>
  <si>
    <t>RUA JOSÉ SEMIÃO RODRIGUES AGOSTINHO, 1370 - CEP: 06833-370 - GALPÃO 43  , ÁGUA ESPRAIADA, EMBU DAS ARTES/SP</t>
  </si>
  <si>
    <t>Mtech Soluções . Telecomunicações e Sistemas de Segurança</t>
  </si>
  <si>
    <t>26.231.669/0001-88</t>
  </si>
  <si>
    <t xml:space="preserve"> alexandre.mtech@gmail.com</t>
  </si>
  <si>
    <t xml:space="preserve">Alexandre Coutinho </t>
  </si>
  <si>
    <t xml:space="preserve"> (48) 99904-1019</t>
  </si>
  <si>
    <t>Rua Joaquim José Antunes</t>
  </si>
  <si>
    <t>194</t>
  </si>
  <si>
    <t>Campeche</t>
  </si>
  <si>
    <t>Florianópolis</t>
  </si>
  <si>
    <t>88065-160</t>
  </si>
  <si>
    <t>Rua Joaquim José Antunes, 194 - CEP: 88065-160 -  , Campeche, Florianópolis/SC</t>
  </si>
  <si>
    <t>PCI PRIME CABOS INFORMATICA E ELETRICA LTDA</t>
  </si>
  <si>
    <t>03.878.575/0001-08</t>
  </si>
  <si>
    <t>131.035.873.112</t>
  </si>
  <si>
    <t>josecarlos.alves70@gmail.com</t>
  </si>
  <si>
    <t>Jose Carlos Alves</t>
  </si>
  <si>
    <t>11 3362-1313 </t>
  </si>
  <si>
    <t>322</t>
  </si>
  <si>
    <t>SANTA EFIGENIA</t>
  </si>
  <si>
    <t>01213000</t>
  </si>
  <si>
    <t>RUA GAL OSORIO, 322 - CEP: 01213000 -  , SANTA EFIGENIA, SAO PAULO /SP</t>
  </si>
  <si>
    <t>DEALER SHOP DISTRIBUICAO LTDA</t>
  </si>
  <si>
    <t>21.678.718/0001-01</t>
  </si>
  <si>
    <t>144188006110</t>
  </si>
  <si>
    <t>miryanne.dantas@dealershop.com.br</t>
  </si>
  <si>
    <t>Miryanne Dantas</t>
  </si>
  <si>
    <t xml:space="preserve">Rua Guarizinho, </t>
  </si>
  <si>
    <t>35</t>
  </si>
  <si>
    <t>02530-010</t>
  </si>
  <si>
    <t>Rua Guarizinho, , 35 - CEP: 02530-010 -  , Casa Verde, SAO PAULO /SP</t>
  </si>
  <si>
    <t xml:space="preserve"> Colaborar Comércio de Produtos Eletrônicos Ltda</t>
  </si>
  <si>
    <t>08.758.638/0001-06</t>
  </si>
  <si>
    <t>120044894115</t>
  </si>
  <si>
    <t>evaldo.monteiro@colaborar.com.br</t>
  </si>
  <si>
    <t>Evaldo Monteiro</t>
  </si>
  <si>
    <t>(11) 95726-7252</t>
  </si>
  <si>
    <t>1550</t>
  </si>
  <si>
    <t>SALA 1615 16 ANDAR</t>
  </si>
  <si>
    <t>VILA SÃO FRANCISCO</t>
  </si>
  <si>
    <t>AV DOUTOR CHUCRI ZAIDAN, 1550 - CEP: 04.711-130 - SALA 1615 16 ANDAR , VILA SÃO FRANCISCO, SÃO PAULO/SP</t>
  </si>
  <si>
    <t xml:space="preserve"> FLEXTEC PECAS E EQUIPAMENTOS DE INFORMATICA LTDA. </t>
  </si>
  <si>
    <t>04.436.785/0001-09</t>
  </si>
  <si>
    <t>149.243.706.111</t>
  </si>
  <si>
    <t xml:space="preserve">ribamar@fxtec.com.br
</t>
  </si>
  <si>
    <t xml:space="preserve">Jose Ribamar de Sousa 
</t>
  </si>
  <si>
    <t xml:space="preserve">11 5041-2770 </t>
  </si>
  <si>
    <t>11  96921-9559</t>
  </si>
  <si>
    <t>RUA VIERA DE MORAES</t>
  </si>
  <si>
    <t xml:space="preserve">1111 </t>
  </si>
  <si>
    <t>CJ 1203</t>
  </si>
  <si>
    <t>CAMPO BELO</t>
  </si>
  <si>
    <t xml:space="preserve">04617-014 </t>
  </si>
  <si>
    <t>RUA VIERA DE MORAES, 1111  - CEP: 04617-014  - CJ 1203 , CAMPO BELO, SÃO PAULO/SP</t>
  </si>
  <si>
    <t>LINE CONFERENCE LTDA</t>
  </si>
  <si>
    <t xml:space="preserve"> 35.956.461/0001-17</t>
  </si>
  <si>
    <t>797.559.900.118</t>
  </si>
  <si>
    <t>(16) 3234-3937_x000D_</t>
  </si>
  <si>
    <t>R MANOEL FERNANDES</t>
  </si>
  <si>
    <t>228</t>
  </si>
  <si>
    <t>JARDIM ZARA</t>
  </si>
  <si>
    <t>RIBEIRÃO PRETO</t>
  </si>
  <si>
    <t xml:space="preserve">SP </t>
  </si>
  <si>
    <t>14092-320</t>
  </si>
  <si>
    <t xml:space="preserve">R MANOEL FERNANDES, 228 - CEP: 14092-320 -  , JARDIM ZARA, RIBEIRÃO PRETO/SP </t>
  </si>
  <si>
    <t>Modernline Comércio de Móveis LTDA</t>
  </si>
  <si>
    <t>10.446.053/0001-94</t>
  </si>
  <si>
    <t>148.372.567-116</t>
  </si>
  <si>
    <t>casadosuporte@casadosuporte.com.br</t>
  </si>
  <si>
    <t>Casa do Suporte</t>
  </si>
  <si>
    <t>(11) 2548-6174</t>
  </si>
  <si>
    <t xml:space="preserve"> Av. Henry Ford</t>
  </si>
  <si>
    <t>825</t>
  </si>
  <si>
    <t>03109-000</t>
  </si>
  <si>
    <t xml:space="preserve"> Av. Henry Ford, 825 - CEP: 03109-000 -  , SÃO PAULO, SÃO PAULO/SP </t>
  </si>
  <si>
    <t xml:space="preserve">	131035873112</t>
  </si>
  <si>
    <t>vendas@pcinetwork.com.br</t>
  </si>
  <si>
    <t>1133621415</t>
  </si>
  <si>
    <t>R GAL OSORIO</t>
  </si>
  <si>
    <t>ALAMEDA RIO NEGRO</t>
  </si>
  <si>
    <t xml:space="preserve">R GAL OSORIO, 322 - CEP: 01213000 -  , ALAMEDA RIO NEGRO, SÃO PAULO/SP </t>
  </si>
  <si>
    <t>TEK ATACADO D DE S E EIRELI - ME</t>
  </si>
  <si>
    <t>27316854000138</t>
  </si>
  <si>
    <t>10.688.179-5</t>
  </si>
  <si>
    <t>vendassp04@ogrupotek.com.br</t>
  </si>
  <si>
    <t>José Henrique Suarez</t>
  </si>
  <si>
    <t>11992730369</t>
  </si>
  <si>
    <t>RUA TC JOAO AIRES</t>
  </si>
  <si>
    <t>175</t>
  </si>
  <si>
    <t>SETOR CENTRAL</t>
  </si>
  <si>
    <t>ANAPOLIS</t>
  </si>
  <si>
    <t>75020310</t>
  </si>
  <si>
    <t>RUA TC JOAO AIRES, 175 - CEP: 75020310 -  , SETOR CENTRAL, ANAPOLIS/GO</t>
  </si>
  <si>
    <t>TEQNIO TECNOLOGIA E SERVICOS - LTDA</t>
  </si>
  <si>
    <t>24.455.530/0002-73</t>
  </si>
  <si>
    <t>206.789.498.110</t>
  </si>
  <si>
    <t>rodrigo@gantech.com.br</t>
  </si>
  <si>
    <t xml:space="preserve">Rodrigo Henrique </t>
  </si>
  <si>
    <t>(11) 96452-0082</t>
  </si>
  <si>
    <t>503</t>
  </si>
  <si>
    <t>SALA 2209-A</t>
  </si>
  <si>
    <t>ALPHAVILLE CENTRO INDUSTRIAL E EMPRESARIAL</t>
  </si>
  <si>
    <t>06.454-000</t>
  </si>
  <si>
    <t xml:space="preserve">ALAMEDA RIO NEGRO, 503 - CEP: 06.454-000 - SALA 2209-A , ALPHAVILLE CENTRO INDUSTRIAL E EMPRESARIAL, BARUERI/SP </t>
  </si>
  <si>
    <t xml:space="preserve">VELANS TELEINFORMATICA LTDA/SP </t>
  </si>
  <si>
    <t>11.406.274/0001-00</t>
  </si>
  <si>
    <t>206.378.949.111</t>
  </si>
  <si>
    <t xml:space="preserve">marcelo.franco@velans.com.br </t>
  </si>
  <si>
    <t>Marcelo Franco</t>
  </si>
  <si>
    <t>11 3874-7160</t>
  </si>
  <si>
    <t>Av. Piraíba</t>
  </si>
  <si>
    <t>352</t>
  </si>
  <si>
    <t>Sala Velans</t>
  </si>
  <si>
    <t xml:space="preserve"> Centro Comercial Jubran</t>
  </si>
  <si>
    <t>06460-121</t>
  </si>
  <si>
    <t xml:space="preserve">Av. Piraíba, 352 - CEP: 06460-121 - Sala Velans ,  Centro Comercial Jubran, BARUERI/SP </t>
  </si>
  <si>
    <t>IFONTECH COMERCIO ELETRONICO LTDA</t>
  </si>
  <si>
    <t>20.834.014/0001-18</t>
  </si>
  <si>
    <t xml:space="preserve">	417620153114</t>
  </si>
  <si>
    <t>contato@ifontech.com.br</t>
  </si>
  <si>
    <t>IFONTECH</t>
  </si>
  <si>
    <t>1930903093</t>
  </si>
  <si>
    <t>Via Guilherme Dibbern</t>
  </si>
  <si>
    <t>3003</t>
  </si>
  <si>
    <t>SALA 16</t>
  </si>
  <si>
    <t>GRAMINHA</t>
  </si>
  <si>
    <t>LIMEIRA</t>
  </si>
  <si>
    <t>13482893</t>
  </si>
  <si>
    <t xml:space="preserve">Via Guilherme Dibbern, 3003 - CEP: 13482893 - SALA 16 , GRAMINHA, LIMEIRA/SP </t>
  </si>
  <si>
    <t>VELANS TELEINFORMATICA LTDA/ES</t>
  </si>
  <si>
    <t>11.406.274/0003-63</t>
  </si>
  <si>
    <t>083.369.33-3</t>
  </si>
  <si>
    <t>Rua Samuel Meira Brasil</t>
  </si>
  <si>
    <t>Conj. C3 parte, B1 a B6 parte, B7 parte a B11</t>
  </si>
  <si>
    <t>Ecopark Serra</t>
  </si>
  <si>
    <t>Taquara II,</t>
  </si>
  <si>
    <t>29167-650</t>
  </si>
  <si>
    <t>Rua Samuel Meira Brasil, 394 - CEP: 29167-650 - Conj. C3 parte, B1 a B6 parte, B7 parte a B11 , Ecopark Serra, Taquara II,/ES</t>
  </si>
  <si>
    <t>Colaborar Comércio de Produtos Eletrônicos Ltda</t>
  </si>
  <si>
    <t>129.399.310.111</t>
  </si>
  <si>
    <t>CONJ 801</t>
  </si>
  <si>
    <t>VILA SAO FRANCISCO (ZONA SUL</t>
  </si>
  <si>
    <t xml:space="preserve">AV DOUTOR CHUCRI ZAIDAN, 1550 - CEP: 04.711-130 - CONJ 801 , VILA SAO FRANCISCO (ZONA SUL, SÃO PAULO/SP </t>
  </si>
  <si>
    <t>Ativa 1 Telecom Ltda - EPP</t>
  </si>
  <si>
    <t xml:space="preserve">Edilene Martins </t>
  </si>
  <si>
    <t>(11) 5585-7771/7772</t>
  </si>
  <si>
    <t>Av. Fagundes Filho</t>
  </si>
  <si>
    <t xml:space="preserve">cj.91 </t>
  </si>
  <si>
    <t>04304-000</t>
  </si>
  <si>
    <t xml:space="preserve">Av. Fagundes Filho, 486 - CEP: 04304-000 - cj.91  , VILA MONTE ALEGRE, São Paulo/SP </t>
  </si>
  <si>
    <t>SOLUTION SHOP PRODUTOS DE TECNOLOGIA LTDA</t>
  </si>
  <si>
    <t>08.404.193/0002-39</t>
  </si>
  <si>
    <t xml:space="preserve">	83562176</t>
  </si>
  <si>
    <t>thales.rossi@ifontech.com.br</t>
  </si>
  <si>
    <t>Thales Rossi</t>
  </si>
  <si>
    <t>3979</t>
  </si>
  <si>
    <t>PLANALTO DE CARAPINA</t>
  </si>
  <si>
    <t>29162703</t>
  </si>
  <si>
    <t>RODOVIA GOVERNADOR MARIO COVAS,  - CEP: 29162703 - 3979 , PLANALTO DE CARAPINA, SERRA/ES</t>
  </si>
  <si>
    <t>JYN TECHNOLOGY SERVICOS E T.I LTDA</t>
  </si>
  <si>
    <t>17.240.690.0001-59</t>
  </si>
  <si>
    <t>financeiro@jyn.com.br</t>
  </si>
  <si>
    <t>(9)8323-0001</t>
  </si>
  <si>
    <t>RUA I</t>
  </si>
  <si>
    <t>0</t>
  </si>
  <si>
    <t>QUADRA 25;LOTE 21</t>
  </si>
  <si>
    <t>ITAPOA</t>
  </si>
  <si>
    <t>APARECIDA DE GOIANIA</t>
  </si>
  <si>
    <t>74.940-490</t>
  </si>
  <si>
    <t>RUA I, 0 - CEP: 74.940-490 - QUADRA 25;LOTE 21 , ITAPOA, APARECIDA DE GOIANIA/GO</t>
  </si>
  <si>
    <t>Flextec - Peças e Equipamentos de Informática Ltda</t>
  </si>
  <si>
    <t>ribamar@fxtec.com.br</t>
  </si>
  <si>
    <t>Jose Ribamar de Sousa</t>
  </si>
  <si>
    <t>(11) 96921-9559</t>
  </si>
  <si>
    <t>(11) 5096-7218</t>
  </si>
  <si>
    <t>1111</t>
  </si>
  <si>
    <t>04617-014</t>
  </si>
  <si>
    <t xml:space="preserve">RUA VIERA DE MORAES, 1111 - CEP: 04617-014 - CJ 1203 , CAMPO BELO, SÃO PAULO/SP </t>
  </si>
  <si>
    <t>UP 2 TECH DO BRASIL EIRELI</t>
  </si>
  <si>
    <t>20.704.757/0001-73</t>
  </si>
  <si>
    <t>financeiro@up2tech.com.b</t>
  </si>
  <si>
    <t>JEFFERSON MELCHIOR</t>
  </si>
  <si>
    <t> (19) 9811-06977 </t>
  </si>
  <si>
    <t>RUA CACIMBA DE AREIA</t>
  </si>
  <si>
    <t>65 </t>
  </si>
  <si>
    <t xml:space="preserve">PARQUE SAO MIGUEL </t>
  </si>
  <si>
    <t>GUARULHOS </t>
  </si>
  <si>
    <t>07.260-170</t>
  </si>
  <si>
    <t xml:space="preserve">RUA CACIMBA DE AREIA, 65  - CEP: 07.260-170 -  , PARQUE SAO MIGUEL , GUARULHOS /SP </t>
  </si>
  <si>
    <t>ODERCO DISTRIBUIDORA DE ELETRONICOS LTDA - 91</t>
  </si>
  <si>
    <t>09.301.845/0001-91</t>
  </si>
  <si>
    <t>luis.cavalcanti@oderco.com.br</t>
  </si>
  <si>
    <t>Luis Filipe Cavalcanti</t>
  </si>
  <si>
    <t>44 2101-1482</t>
  </si>
  <si>
    <t>AV PARANAVAI</t>
  </si>
  <si>
    <t>1906</t>
  </si>
  <si>
    <t xml:space="preserve">PARQUE INDUSTRIAL BANDEIRANTES
</t>
  </si>
  <si>
    <t>MARINGA</t>
  </si>
  <si>
    <t>87.070-130</t>
  </si>
  <si>
    <t>AV PARANAVAI, 1906 - CEP: 87.070-130 -  , PARQUE INDUSTRIAL BANDEIRANTES
, MARINGA/PR</t>
  </si>
  <si>
    <t>TEK ATACADO DISTRIBUIDOR DE SEGURANÇA</t>
  </si>
  <si>
    <t>27316854000308</t>
  </si>
  <si>
    <t>0793473200109</t>
  </si>
  <si>
    <t>QNJ 40 LOTE 07</t>
  </si>
  <si>
    <t>SN</t>
  </si>
  <si>
    <t>SEM COMPLEMENTO</t>
  </si>
  <si>
    <t>TAGUATINGA NORTE</t>
  </si>
  <si>
    <t>BRASILIA</t>
  </si>
  <si>
    <t>DF</t>
  </si>
  <si>
    <t>72140-400</t>
  </si>
  <si>
    <t>QNJ 40 LOTE 07, SN - CEP: 72140-400 - SEM COMPLEMENTO , TAGUATINGA NORTE, BRASILIA/DF</t>
  </si>
  <si>
    <t>ODERCO DISTRIBUIDORA DE ELETRONICOS LTDA - 34</t>
  </si>
  <si>
    <t>09.301.845/0004-34</t>
  </si>
  <si>
    <t xml:space="preserve">082.922.18-7
</t>
  </si>
  <si>
    <t>882</t>
  </si>
  <si>
    <t>SALA 7 - PREDIO ADMINISTRATIVO</t>
  </si>
  <si>
    <t>PADRE MATHIAS</t>
  </si>
  <si>
    <t>CARIACICA</t>
  </si>
  <si>
    <t>29157100</t>
  </si>
  <si>
    <t>RODOVIA GOVERNADOR MARIO COVAS, 882 - CEP: 29157100 - SALA 7 - PREDIO ADMINISTRATIVO , PADRE MATHIAS, CARIACICA/ES</t>
  </si>
  <si>
    <t>EBAZAR.COM.BR. LTDA</t>
  </si>
  <si>
    <t>03.007.331/0001-41</t>
  </si>
  <si>
    <t>AV DAS NACOES UNIDAS 3000</t>
  </si>
  <si>
    <t>PARTE A</t>
  </si>
  <si>
    <t>BONFIM</t>
  </si>
  <si>
    <t>OSASCO</t>
  </si>
  <si>
    <t>06.233-903</t>
  </si>
  <si>
    <t>AV DAS NACOES UNIDAS 3000, 3003 - CEP: 06.233-903 - PARTE A , BONFIM, OSASCO/SP</t>
  </si>
  <si>
    <t>R C NORTH COMERCIO DE EQUIPAMENTOS ELETRONICOS LTDA</t>
  </si>
  <si>
    <t>38.151.495/0001-22</t>
  </si>
  <si>
    <t>53599878611-6</t>
  </si>
  <si>
    <t>   rafaelferraro@lhdtelecom.com.br</t>
  </si>
  <si>
    <t>RAFAEL FERRARO</t>
  </si>
  <si>
    <t>11 2973-3249</t>
  </si>
  <si>
    <t>R JOSE PINTO DE ALMEIDA</t>
  </si>
  <si>
    <t>887</t>
  </si>
  <si>
    <t>APT 101</t>
  </si>
  <si>
    <t>CIDADE ALTA</t>
  </si>
  <si>
    <t>PIRACICABA</t>
  </si>
  <si>
    <t>13.419-000</t>
  </si>
  <si>
    <t xml:space="preserve">R JOSE PINTO DE ALMEIDA, 887 - CEP: 13.419-000 - APT 101 , CIDADE ALTA, PIRACICABA/SP </t>
  </si>
  <si>
    <t>PEÇAS DATA CENTER BRASIL LTDA.</t>
  </si>
  <si>
    <t>32.272.667/0001-30</t>
  </si>
  <si>
    <t>123.370.250.118 </t>
  </si>
  <si>
    <t>fabricio@gpcit.com.br</t>
  </si>
  <si>
    <t>FABRICIO LEAL</t>
  </si>
  <si>
    <t>Av. São Miguel</t>
  </si>
  <si>
    <t>2073</t>
  </si>
  <si>
    <t>PENHA</t>
  </si>
  <si>
    <t xml:space="preserve"> 03619-100</t>
  </si>
  <si>
    <t xml:space="preserve">Av. São Miguel, 2073 - CEP:  03619-100 -  , PENHA, SÃO PAULO/SP </t>
  </si>
  <si>
    <t>General IT Comércio em Telecomunicações LTDA</t>
  </si>
  <si>
    <t>37.030.050/0001-21</t>
  </si>
  <si>
    <t>133430149111</t>
  </si>
  <si>
    <t>bruno.ressel@generalit.com.br</t>
  </si>
  <si>
    <t>BRUNO RESSEL</t>
  </si>
  <si>
    <t>(11) 3109-5321</t>
  </si>
  <si>
    <t>Rua da Paz,  – CJ106</t>
  </si>
  <si>
    <t>1601</t>
  </si>
  <si>
    <t>Chác. Sto. Antonio</t>
  </si>
  <si>
    <t>04713-002</t>
  </si>
  <si>
    <t xml:space="preserve">Rua da Paz,  – CJ106, 1601 - CEP: 04713-002 - N/A , Chác. Sto. Antonio, SÃO PAULO/SP </t>
  </si>
  <si>
    <t>GPC FLASH TECNOLOGIA LTDA</t>
  </si>
  <si>
    <t>32.613.629/0001-01</t>
  </si>
  <si>
    <t>123953501119</t>
  </si>
  <si>
    <t>AV SAO MIGUEL</t>
  </si>
  <si>
    <t>1956</t>
  </si>
  <si>
    <t>APT 102;BLOCO B</t>
  </si>
  <si>
    <t>VILA MARIETA</t>
  </si>
  <si>
    <t>03.619-100</t>
  </si>
  <si>
    <t xml:space="preserve">AV SAO MIGUEL, 1956 - CEP: 03.619-100 - APT 102;BLOCO B , VILA MARIETA, SAO PAULO/SP </t>
  </si>
  <si>
    <t>DYNAMOVA TECNOLOGIA, SOLUCOES E COMERCIO LTDA</t>
  </si>
  <si>
    <t>36.418.323/0001-47</t>
  </si>
  <si>
    <t xml:space="preserve">	127934111110</t>
  </si>
  <si>
    <t>FINANCEIRO@DYNAMOVATI.COM.BR</t>
  </si>
  <si>
    <t>RONE SANTANA</t>
  </si>
  <si>
    <t>55 11 5026-6547</t>
  </si>
  <si>
    <t>55 11 94077-4028</t>
  </si>
  <si>
    <t>AV SALGADO FILHO</t>
  </si>
  <si>
    <t>2120</t>
  </si>
  <si>
    <t>SALA 2301C</t>
  </si>
  <si>
    <t>CENTRO</t>
  </si>
  <si>
    <t>GUARULHOS</t>
  </si>
  <si>
    <t>07.115-000</t>
  </si>
  <si>
    <t xml:space="preserve">AV SALGADO FILHO, 2120 - CEP: 07.115-000 - SALA 2301C , CENTRO, GUARULHOS/SP </t>
  </si>
  <si>
    <t>GIGA TELECOM COMERCIO E MANUTENCAO EM TELEFONIA LTDA</t>
  </si>
  <si>
    <t>05.927.524/0001-46</t>
  </si>
  <si>
    <t>10729090043</t>
  </si>
  <si>
    <t>hudson@gigatelecom.com.br</t>
  </si>
  <si>
    <t>Hudson</t>
  </si>
  <si>
    <t>(31) 98689-3540</t>
  </si>
  <si>
    <t>(31) 3411-1919</t>
  </si>
  <si>
    <t>R MACHADO NUNES</t>
  </si>
  <si>
    <t>116</t>
  </si>
  <si>
    <t>SALA 301 B</t>
  </si>
  <si>
    <t>ALTO CAICARAS</t>
  </si>
  <si>
    <t>BELO HORIZONTE</t>
  </si>
  <si>
    <t>30.775-530</t>
  </si>
  <si>
    <t>R MACHADO NUNES, 116 - CEP: 30.775-530 - SALA 301 B , ALTO CAICARAS, BELO HORIZONTE/MG</t>
  </si>
  <si>
    <t>DISTCOM BRASIL S.A.</t>
  </si>
  <si>
    <t>50.946.384/0002-99</t>
  </si>
  <si>
    <t>84184876</t>
  </si>
  <si>
    <t>cristiana.bagano@distcom.com.br</t>
  </si>
  <si>
    <t xml:space="preserve">Cristiana Bagano </t>
  </si>
  <si>
    <t>11 3328-3947</t>
  </si>
  <si>
    <t>ROD GOVERNADOR MARIO COVAS</t>
  </si>
  <si>
    <t>KM 279</t>
  </si>
  <si>
    <t>SALA 06</t>
  </si>
  <si>
    <t>JACUHY</t>
  </si>
  <si>
    <t>29.161-230</t>
  </si>
  <si>
    <t>ROD GOVERNADOR MARIO COVAS, KM 279 - CEP: 29.161-230 - SALA 06 , JACUHY, SERRA/ES</t>
  </si>
  <si>
    <t>TEK ATACADO DISTRIBUIDOR DE SEGURANCA ELETRONICA LTDA</t>
  </si>
  <si>
    <t>27.316.854/0004-80</t>
  </si>
  <si>
    <t>83926909</t>
  </si>
  <si>
    <t xml:space="preserve">José Henrique Suarez </t>
  </si>
  <si>
    <t>11 99273-0369</t>
  </si>
  <si>
    <t>ROD GOVERNADOR MARIO COVAS, 1941</t>
  </si>
  <si>
    <t>KM 281 SALA 37 GALPAO001 MODULOS 10 A 14</t>
  </si>
  <si>
    <t xml:space="preserve">ES </t>
  </si>
  <si>
    <t>29.158-900</t>
  </si>
  <si>
    <t>ROD GOVERNADOR MARIO COVAS, 1941 SN KM 281 SALA 37 GALPAO001 MODULOS 10 A 14 PADRE MATHIAS CARIACICA ES 29.158-900</t>
  </si>
  <si>
    <t>GPC IT BRASIL INFORMATICA LTDA</t>
  </si>
  <si>
    <t>30.351.089/0001-00</t>
  </si>
  <si>
    <t>119390960118</t>
  </si>
  <si>
    <t>fabricio@gpcit.vom.br</t>
  </si>
  <si>
    <t xml:space="preserve">Fabricio Leal </t>
  </si>
  <si>
    <t>(11) 97885-4552</t>
  </si>
  <si>
    <t>(11) 2640-9724</t>
  </si>
  <si>
    <t>AV S MIGUEL 2097</t>
  </si>
  <si>
    <t>2097</t>
  </si>
  <si>
    <t>SLJ 2103</t>
  </si>
  <si>
    <t>AV S MIGUEL 2097 SLJ 2103 VILA MARIETA SAO PAULO SP 03.619-100</t>
  </si>
  <si>
    <t>ORACLE DO BRASIL SISTEMAS LTDA</t>
  </si>
  <si>
    <t>59.456.277/0001-76</t>
  </si>
  <si>
    <t>114067308110</t>
  </si>
  <si>
    <t>eduardo.porto@oracle.com</t>
  </si>
  <si>
    <t>Eduardo Porto</t>
  </si>
  <si>
    <t xml:space="preserve">61 99966-3855 </t>
  </si>
  <si>
    <t>Av. João Pedro Cardoso</t>
  </si>
  <si>
    <t>455</t>
  </si>
  <si>
    <t>ANEXO MORUMBI BUSINESS CEN</t>
  </si>
  <si>
    <t>SANTO AMARO</t>
  </si>
  <si>
    <t>04.710-090</t>
  </si>
  <si>
    <t>R DR JOSE AUREO BUSTAMANTE 455 ANEXO MORUMBI BUSINESS CEN SANTO AMARO SAO PAULO SP 04.710-090</t>
  </si>
  <si>
    <t>11 992730369</t>
  </si>
  <si>
    <t xml:space="preserve">ROD Governador Mario Covas </t>
  </si>
  <si>
    <t>1941</t>
  </si>
  <si>
    <t>KM 281 - GALPÃO 001 MODULOS 10 A 14</t>
  </si>
  <si>
    <t xml:space="preserve">PADRE ATHIAS </t>
  </si>
  <si>
    <t xml:space="preserve">CARIACICA </t>
  </si>
  <si>
    <t>29158-900</t>
  </si>
  <si>
    <t>ROD GOVERNADOR MARIO COVAS 1941, KM 281 SALA 37 GALPÃO 0001 MOULOS 10 A 14 - PADRE MATHIAS - CARIACICA- ES  - 29158900</t>
  </si>
  <si>
    <t xml:space="preserve">TOSHIBA GLOBAL COMERCIO DE SOLUCOES PARA VAREJO </t>
  </si>
  <si>
    <t>15.372.542/0001-62</t>
  </si>
  <si>
    <t>206535886111</t>
  </si>
  <si>
    <t xml:space="preserve">
Fabiano.gil@toshibagcs.com</t>
  </si>
  <si>
    <t xml:space="preserve">11 971697160 </t>
  </si>
  <si>
    <t>AL RIO NEGRO</t>
  </si>
  <si>
    <t>500</t>
  </si>
  <si>
    <t>CONJ 815 ANDAR 8 TORRE A EDIF WEST TOWERS</t>
  </si>
  <si>
    <t>ALPHAVILLE CENTRO INDUSTRIAL E EMPRESARIAL/ALPHAVI</t>
  </si>
  <si>
    <t>AL RIO NEGRO,500,CONJ 815 ANDAR 8 TORRE A EDIF WEST TOWERS,ALPHAVILLE CENTRO INDUSTRIAL E EMPRESARIAL/ALPHAVI,BARUERI,06.454-000</t>
  </si>
  <si>
    <t>AGIS EQUIPAMENTOS E SERVICOS DE INFORMATICA LTDA.</t>
  </si>
  <si>
    <t>68.993.641/0001-28</t>
  </si>
  <si>
    <t>68.993.641/0001-29</t>
  </si>
  <si>
    <t>lucas.marsulo@agis.com.br</t>
  </si>
  <si>
    <t>LUCAS MARSULO</t>
  </si>
  <si>
    <t>(19) 3759 4592</t>
  </si>
  <si>
    <t>R DONA CATHARINA MARIA DE JESUS 418</t>
  </si>
  <si>
    <t>418</t>
  </si>
  <si>
    <t>BLOCO MOD 01 AO 06 BTG LOGSALA 37</t>
  </si>
  <si>
    <t>BOM SUCESSO</t>
  </si>
  <si>
    <t>07175-500</t>
  </si>
  <si>
    <t>R DONA CATHARINA MARIA DE JESUS,418,BLOCO MOD 01 AO 06 BTG LOGSALA 37,07.175-500,BONSUCESSO,GUARULHOS,SP</t>
  </si>
  <si>
    <t xml:space="preserve">teste 2 </t>
  </si>
  <si>
    <t>R DONA CATHARINA MARIA DE JESUS 419</t>
  </si>
  <si>
    <t>419</t>
  </si>
  <si>
    <t>BLOCO MOD 01 AO 06 BTG LOGSALA 38</t>
  </si>
  <si>
    <t>07175-501</t>
  </si>
  <si>
    <t>EMPRESA SERVER ON TECNOLOGIA E SERVICOS LTDA</t>
  </si>
  <si>
    <t>35.249.492/0001-38</t>
  </si>
  <si>
    <t>136895462117</t>
  </si>
  <si>
    <t>michel.pereira@server-on.com.br</t>
  </si>
  <si>
    <t>Michael Pereira</t>
  </si>
  <si>
    <t>(11) 4395 - 8045</t>
  </si>
  <si>
    <t>(11) 94533 - 5740</t>
  </si>
  <si>
    <t>RUA DR ALTAIR MARTINS</t>
  </si>
  <si>
    <t>48</t>
  </si>
  <si>
    <t>SALAO02</t>
  </si>
  <si>
    <t xml:space="preserve">JARDIM MARIA AUGUSTA </t>
  </si>
  <si>
    <t>05.546-150</t>
  </si>
  <si>
    <t>R DR ALTAIR MARTINS, 48, JARDIM MARIA AUGUSTA, SAO PAULO, 05.546-149</t>
  </si>
  <si>
    <t>INFORMATICA MAIS TECNOLOGIA LTDA</t>
  </si>
  <si>
    <t>29.807.795/0001-26</t>
  </si>
  <si>
    <t>133197630115</t>
  </si>
  <si>
    <t>R DR ALTAIR MARTINS</t>
  </si>
  <si>
    <t>-</t>
  </si>
  <si>
    <t>JARDIM MARIA AUGUSTA</t>
  </si>
  <si>
    <t>R DR ALTAIR MARTINS, 48, JARDIM MARIA AUGUSTA, SAO PAULO, 05.546-150</t>
  </si>
  <si>
    <t>CENTRAL NETWORK COMERCIAL - EIRELI</t>
  </si>
  <si>
    <t>07.284.035/0001-49</t>
  </si>
  <si>
    <t>117.008.038.117</t>
  </si>
  <si>
    <t>leonardo@centralcabos.com.br</t>
  </si>
  <si>
    <t xml:space="preserve">Leonardo Antônio </t>
  </si>
  <si>
    <t>(11) 3334-3710</t>
  </si>
  <si>
    <t xml:space="preserve">(11) 3334-3713 </t>
  </si>
  <si>
    <t>Rua Aurora</t>
  </si>
  <si>
    <t>Santa Efigênia - São Paulo / SP</t>
  </si>
  <si>
    <t>Santa Efigênia</t>
  </si>
  <si>
    <t>01209-000</t>
  </si>
  <si>
    <t>Rua Aurora 48 01209-000 Santa Efigênia - São Paulo / SP</t>
  </si>
  <si>
    <t>NEXUS LOGISTICA E TRANSPORTES LTDA</t>
  </si>
  <si>
    <t>08.205.713/0001-01</t>
  </si>
  <si>
    <t>149.372.677.115</t>
  </si>
  <si>
    <t>RUA DOUTOR EDGARD THEOTONIO SANTANA</t>
  </si>
  <si>
    <t>158</t>
  </si>
  <si>
    <t>PQ INDL THOMAS EDSON</t>
  </si>
  <si>
    <t>PARQUE INDUSTRIAL TOMAS EDSON</t>
  </si>
  <si>
    <t>01.140-030</t>
  </si>
  <si>
    <t>RUA DOUTOR EDGARD THEOTONIO SANTANA, 158 - CEP: 01.140-030 - PQ INDL THOMAS EDSON , PARQUE INDUSTRIAL TOMAS EDSON, SAO PAULO/SP</t>
  </si>
  <si>
    <t>J.B.M COMERCIO DE ELETRONICOS LTDA</t>
  </si>
  <si>
    <t>56.948.744/0001-97</t>
  </si>
  <si>
    <t>150575736114</t>
  </si>
  <si>
    <t>mailto:abetez@universal.org</t>
  </si>
  <si>
    <t>AV PAULISTA</t>
  </si>
  <si>
    <t>1471</t>
  </si>
  <si>
    <t>CONJ 1110 CXPST 1528</t>
  </si>
  <si>
    <t>BELA VISTA</t>
  </si>
  <si>
    <t>01.311-927</t>
  </si>
  <si>
    <t>AV PAULISTA, 1471 - CEP: 01.311-927 - CONJ 1110 CXPST 1528 , BELA VISTA, SÃO PAULO/SP</t>
  </si>
  <si>
    <t>SOB SCHURTER + OKW DO BRASIL COMPONENTES ELETRONICOS LTDA.</t>
  </si>
  <si>
    <t>080752900001-44</t>
  </si>
  <si>
    <t>149314506113</t>
  </si>
  <si>
    <t xml:space="preserve">RUA BARAO DO TRIUNFO </t>
  </si>
  <si>
    <t>88</t>
  </si>
  <si>
    <t>SL606</t>
  </si>
  <si>
    <t>04602-000</t>
  </si>
  <si>
    <t>RUA BARAO DO TRIUNFO , 88 - CEP: 04602-000 - SL606 , SÃO PAULO, SÃO PAULO/SP</t>
  </si>
  <si>
    <t>PART NUMBER - Coluna 1</t>
  </si>
  <si>
    <t>DESCRIÇÃO - Coluna 2</t>
  </si>
  <si>
    <t>LOCAL DO ESTOQUE - Coluna 3</t>
  </si>
  <si>
    <t>CFOP - Coluna 4</t>
  </si>
  <si>
    <t>NATUREZA - Coluna 5</t>
  </si>
  <si>
    <t>FAMÍLIA - Coluna 6</t>
  </si>
  <si>
    <t>NCM - Coluna 7</t>
  </si>
  <si>
    <t xml:space="preserve">ATÉ            15 </t>
  </si>
  <si>
    <t>ATÉ            120</t>
  </si>
  <si>
    <t>C9200-24P-A</t>
  </si>
  <si>
    <t>Cisco Catalyst 9200, 24 ports PoE, A DNA License</t>
  </si>
  <si>
    <t>8517.62.34</t>
  </si>
  <si>
    <t>C9200-24P-E</t>
  </si>
  <si>
    <t>(SWITCH) - Cisco Catalyst 9200, 24 ports PoE, E DNA License</t>
  </si>
  <si>
    <t>C9200-24T-A</t>
  </si>
  <si>
    <t>Cisco Catalyst 9200, 24 ports 10/100/1000, A DNA License</t>
  </si>
  <si>
    <t>C9200-24T-E</t>
  </si>
  <si>
    <t>Cisco Catalyst 9200, 24 ports 10/100/1000, E DNA License</t>
  </si>
  <si>
    <t>C9200-48P-A</t>
  </si>
  <si>
    <t>Cisco Catalyst 9200, 48 ports PoE, A DNA License</t>
  </si>
  <si>
    <t>C9200-48P-E</t>
  </si>
  <si>
    <t>Cisco Catalyst 9200, 48 ports PoE, E DNA License</t>
  </si>
  <si>
    <t>C9200-48T-A</t>
  </si>
  <si>
    <t>Cisco Catalyst 9200, 48 ports 10/100/1000, A DNA License</t>
  </si>
  <si>
    <t>C9200-48T-E</t>
  </si>
  <si>
    <t>Cisco Catalyst 9200, 48 ports 10/100/1000, E DNA License</t>
  </si>
  <si>
    <t>C9200-NM-4G</t>
  </si>
  <si>
    <t>Cisco Catalyst 9200, Network Module 4G</t>
  </si>
  <si>
    <t>C9200-NM-4X</t>
  </si>
  <si>
    <t>Cisco Catalyst 9200, Network Module 4X</t>
  </si>
  <si>
    <t>C9200-STACK-KIT</t>
  </si>
  <si>
    <t>Cisco Catalyst 9200, Stack Kit</t>
  </si>
  <si>
    <t>8517.79.00</t>
  </si>
  <si>
    <t>C9200CX-12P-2X2G-A</t>
  </si>
  <si>
    <t>Cisco Catalyst 9200CX, 12 ports PoE, 2x2G, A DNA License</t>
  </si>
  <si>
    <t>C9200CX-12P-2X2G-E</t>
  </si>
  <si>
    <t>Cisco Catalyst 9200CX, 12 ports PoE, 2x2G, E DNA License</t>
  </si>
  <si>
    <t>C9200CX-12T-2X2G-A</t>
  </si>
  <si>
    <t>Cisco Catalyst 9200CX, 12 ports 10/100/1000, 2x2G, A DNA License</t>
  </si>
  <si>
    <t>C9200CX-12T-2X2G-E</t>
  </si>
  <si>
    <t>Cisco Catalyst 9200CX, 12 ports 10/100/1000, 2x2G, E DNA License</t>
  </si>
  <si>
    <t>C9200CX-8P-2X2G-A</t>
  </si>
  <si>
    <t>Cisco Catalyst 9200CX, 8 ports PoE, 2x2G, A DNA License</t>
  </si>
  <si>
    <t>C9200CX-8P-2X2G-E</t>
  </si>
  <si>
    <t>Cisco Catalyst 9200CX, 8 ports PoE, 2x2G, E DNA License</t>
  </si>
  <si>
    <t>C9200L-24P-4G-A</t>
  </si>
  <si>
    <t>Cisco Catalyst 9200L, 24 ports PoE, 4G, A DNA License</t>
  </si>
  <si>
    <t>C9200L-24P4G-E</t>
  </si>
  <si>
    <t>Cisco Catalyst 9200L, 24 portas PoE, 4G, E DNA Licensev1</t>
  </si>
  <si>
    <t>C9200L-24P-4X-A</t>
  </si>
  <si>
    <t>Cisco Catalyst 9200L, 24 portas PoE, 4x10G, A DNA License</t>
  </si>
  <si>
    <t>C9200L-24P-4X-E</t>
  </si>
  <si>
    <t>Cisco Catalyst 9200L, 24 portas PoE, 4x10G, E DNA License</t>
  </si>
  <si>
    <t>C9200L-24T-4G-A</t>
  </si>
  <si>
    <t>Cisco Catalyst 9200L, 24 portas 10/100/1000, 4G, A DNA License</t>
  </si>
  <si>
    <t>C9200L-24T-4G-E</t>
  </si>
  <si>
    <t>Cisco Catalyst 9200L, 24 portas 10/100/1000, 4G, E DNA License</t>
  </si>
  <si>
    <t>C9200L-24T-4X-A</t>
  </si>
  <si>
    <t>Cisco Catalyst 9200L, 24 portas 10/100/1000, 4x10G, A DNA License</t>
  </si>
  <si>
    <t>C9200L-24T-4X-E</t>
  </si>
  <si>
    <t>Cisco Catalyst 9200L, 24 portas 10/100/1000, 4x10G, E DNA License</t>
  </si>
  <si>
    <t>C9200L-48P-4G-A</t>
  </si>
  <si>
    <t>Cisco Catalyst 9200L, 48 portas PoE, 4G, A DNA License</t>
  </si>
  <si>
    <t>C9200L-48P4G-E</t>
  </si>
  <si>
    <t>Cisco Catalyst 9200L, 48 portas PoE, 4G, E DNA License</t>
  </si>
  <si>
    <t>C9200L-48P-4X-A</t>
  </si>
  <si>
    <t>Cisco Catalyst 9200L, 48 portas PoE, 4x10G, A DNA License</t>
  </si>
  <si>
    <t>C9200L-48P-4X-E</t>
  </si>
  <si>
    <t>Cisco Catalyst 9200L, 48 portas PoE, 4x10G, E DNA License</t>
  </si>
  <si>
    <t>C9200L-48T-4G-A</t>
  </si>
  <si>
    <t>Cisco Catalyst 9200L, 48 portas 10/100/1000, 4G, A DNA License</t>
  </si>
  <si>
    <t>C9200L-48T-4X-A</t>
  </si>
  <si>
    <t>Cisco Catalyst 9200L, 48 portas 10/100/1000, 4x10G, A DNA License</t>
  </si>
  <si>
    <t>C9200L-48T-4X-E</t>
  </si>
  <si>
    <t>Cisco Catalyst 9200L, 48 portas 10/100/1000, 4x10G, E DNA License</t>
  </si>
  <si>
    <t>C9200L-STACKKIT</t>
  </si>
  <si>
    <t>(MODULO) Cisco Catalyst 9200L, Stack Kit</t>
  </si>
  <si>
    <t>C9300-24P-A</t>
  </si>
  <si>
    <t>Cisco Catalyst 9300, 24 ports PoE, A DNA License</t>
  </si>
  <si>
    <t>C9300-24P-E</t>
  </si>
  <si>
    <t>Cisco Catalyst 9300, 24 ports PoE, E DNA License</t>
  </si>
  <si>
    <t>C9300-24S-A</t>
  </si>
  <si>
    <t>Cisco Catalyst 9300, 24 ports SFP, A DNA License</t>
  </si>
  <si>
    <t>C9300-24S-E</t>
  </si>
  <si>
    <t>Cisco Catalyst 9300, 24 ports SFP, E DNA License</t>
  </si>
  <si>
    <t>C9300-24T-A</t>
  </si>
  <si>
    <t>Cisco Catalyst 9300, 24 ports 10/100/1000, A DNA License</t>
  </si>
  <si>
    <t>C9300-24T-E</t>
  </si>
  <si>
    <t>Cisco Catalyst 9300, 24 ports 10/100/1000, E DNA License</t>
  </si>
  <si>
    <t>C9300-24U-A</t>
  </si>
  <si>
    <t>Cisco Catalyst 9300, 24 ports UPOE, A DNA License</t>
  </si>
  <si>
    <t>C9300-24U-E</t>
  </si>
  <si>
    <t>Cisco Catalyst 9300, 24 ports UPOE, E DNA License</t>
  </si>
  <si>
    <t>C9300-24UX-A</t>
  </si>
  <si>
    <t>Cisco Catalyst 9300, 24 ports 10G, A DNA License</t>
  </si>
  <si>
    <t>C9300-24UX-E</t>
  </si>
  <si>
    <t>Cisco Catalyst 9300, 24 ports 10G, E DNA License</t>
  </si>
  <si>
    <t>C9300-48P-A</t>
  </si>
  <si>
    <t>Cisco Catalyst 9300, 48 ports PoE, A DNA License</t>
  </si>
  <si>
    <t>C9300-48P-E</t>
  </si>
  <si>
    <t>Cisco Catalyst 9300, 48 ports PoE, E DNA License</t>
  </si>
  <si>
    <t>C9300-48S-A</t>
  </si>
  <si>
    <t>Cisco Catalyst 9300, 48 ports SFP, A DNA License</t>
  </si>
  <si>
    <t>C9300-48S-E</t>
  </si>
  <si>
    <t>Cisco Catalyst 9300, 48 ports SFP, E DNA License</t>
  </si>
  <si>
    <t>C9300-48T-A</t>
  </si>
  <si>
    <t>Cisco Catalyst 9300, 48 ports 10/100/1000, A DNA License</t>
  </si>
  <si>
    <t>C9300-48T-E</t>
  </si>
  <si>
    <t>Cisco Catalyst 9300, 48 ports 10/100/1000, E DNA License</t>
  </si>
  <si>
    <t>C9300-48U-A</t>
  </si>
  <si>
    <t>Cisco Catalyst 9300, 48 ports UPOE, A DNA License</t>
  </si>
  <si>
    <t>C9300-48U-E</t>
  </si>
  <si>
    <t>Cisco Catalyst 9300, 48 ports UPOE, E DNA License</t>
  </si>
  <si>
    <t>C9300-48UN-A</t>
  </si>
  <si>
    <t>Cisco Catalyst 9300, 48 ports Unified, A DNA License</t>
  </si>
  <si>
    <t>C9300-48UN-E</t>
  </si>
  <si>
    <t>Cisco Catalyst 9300, 48 ports Unified, E DNA License</t>
  </si>
  <si>
    <t>C9300-48UXM-A</t>
  </si>
  <si>
    <t>Cisco Catalyst 9300, 48 ports 10G, MultiGig, A DNA License</t>
  </si>
  <si>
    <t>C9300-48UXM-E</t>
  </si>
  <si>
    <t>Cisco Catalyst 9300, 48 ports 10G, MultiGig, E DNA License</t>
  </si>
  <si>
    <t>C9300-NM-2Q</t>
  </si>
  <si>
    <t>Cisco Catalyst 9300, Network Module 2Q</t>
  </si>
  <si>
    <t>C9300-NM-4G</t>
  </si>
  <si>
    <t>Cisco Catalyst 9300, Network Module 4G</t>
  </si>
  <si>
    <t>C9300L-24P-4G-A</t>
  </si>
  <si>
    <t>Cisco Catalyst 9300L, 24 ports PoE, 4G, A DNA License</t>
  </si>
  <si>
    <t>C9300L-24P-4G-E</t>
  </si>
  <si>
    <t>Cisco Catalyst 9300L, 24 ports PoE, 4G, E DNA License</t>
  </si>
  <si>
    <t>C9300L-24P-4X-A</t>
  </si>
  <si>
    <t>Cisco Catalyst 9300L, 24 ports PoE, 4x10G, A DNA License</t>
  </si>
  <si>
    <t>C9300L-24P-4X-E</t>
  </si>
  <si>
    <t>Cisco Catalyst 9300L, 24 ports PoE, 4x10G, E DNA License</t>
  </si>
  <si>
    <t>C9300L-24T-4G-A</t>
  </si>
  <si>
    <t>Cisco Catalyst 9300L, 24 ports 10/100/1000, 4G, A DNA License</t>
  </si>
  <si>
    <t>C9300L-24T-4G-E</t>
  </si>
  <si>
    <t>Cisco Catalyst 9300L, 24 ports 10/100/1000, 4G, E DNA License</t>
  </si>
  <si>
    <t>C9300L-24T-4X-A</t>
  </si>
  <si>
    <t>Cisco Catalyst 9300L, 24 ports 10/100/1000, 4x10G, A DNA License</t>
  </si>
  <si>
    <t>C9300L-24T-4X-E</t>
  </si>
  <si>
    <t>Cisco Catalyst 9300L, 24 ports 10/100/1000, 4x10G, E DNA License</t>
  </si>
  <si>
    <t>C9300L-48P-4G-A</t>
  </si>
  <si>
    <t>Cisco Catalyst 9300L, 48 ports PoE, 4G, A DNA License</t>
  </si>
  <si>
    <t>C9300L-48P-4G-E</t>
  </si>
  <si>
    <t>Cisco Catalyst 9300L, 48 ports PoE, 4G, E DNA License</t>
  </si>
  <si>
    <t>C9300L-48P-4X-A</t>
  </si>
  <si>
    <t>Cisco Catalyst 9300L, 48 ports PoE, 4x10G, A DNA License</t>
  </si>
  <si>
    <t>C9300L-48P-4X-E</t>
  </si>
  <si>
    <t>Cisco Catalyst 9300L, 48 ports PoE, 4x10G, E DNA License</t>
  </si>
  <si>
    <t>C9300L-48T-4G-A</t>
  </si>
  <si>
    <t>Cisco Catalyst 9300L, 48 portas 10/100/1000, 4G, A DNA License</t>
  </si>
  <si>
    <t>C9300L-48T-4G-E</t>
  </si>
  <si>
    <t>Cisco Catalyst 9300L, 48 portas 10/100/1000, 4G, E DNA License</t>
  </si>
  <si>
    <t>C9300L-48T-4X-A</t>
  </si>
  <si>
    <t>Cisco Catalyst 9300L, 48 portas 10/100/1000, 4x10G, A DNA License</t>
  </si>
  <si>
    <t>C9300L-48T-4X-E</t>
  </si>
  <si>
    <t>Cisco Catalyst 9300L, 48 portas 10/100/1000, 4x10G, E DNA License</t>
  </si>
  <si>
    <t>C9300L-48UXG-2Q-A</t>
  </si>
  <si>
    <t>Cisco Catalyst 9300L, 48 ports Unified 10G, 2Q, A DNA License</t>
  </si>
  <si>
    <t>C9300L-48UXG-2Q-E</t>
  </si>
  <si>
    <t>Cisco Catalyst 9300L, 48 ports Unified 10G, 2Q, E DNA License</t>
  </si>
  <si>
    <t>C9300L-48UXG-4X-A</t>
  </si>
  <si>
    <t>Cisco Catalyst 9300L, 48 ports Unified 10G, 4X, A DNA License</t>
  </si>
  <si>
    <t>C9300L-48UXG-4X-E</t>
  </si>
  <si>
    <t>Cisco Catalyst 9300L, 48 ports Unified 10G, 4X, E DNA License</t>
  </si>
  <si>
    <t>FPR-C9300-AC</t>
  </si>
  <si>
    <t>Cisco Firepower C9300 AC Power Supply</t>
  </si>
  <si>
    <t>FPR-C9300-DC</t>
  </si>
  <si>
    <t>Cisco Firepower C9300 DC Power Supply</t>
  </si>
  <si>
    <t>FONE-BD306-1</t>
  </si>
  <si>
    <t>Fone blindado modelo bd306-1</t>
  </si>
  <si>
    <t>RADIO-BD306-1</t>
  </si>
  <si>
    <t>Radio corporativo modelo bd06-1</t>
  </si>
  <si>
    <t xml:space="preserve"> 8517.71.10</t>
  </si>
  <si>
    <t>FONE-TC320-1</t>
  </si>
  <si>
    <t>Fone blindado para modelo - TC320-1</t>
  </si>
  <si>
    <t>8518.30.00</t>
  </si>
  <si>
    <t>RT-ISR43331</t>
  </si>
  <si>
    <t>Roteador Cisco ISR43331 com 3 GE, 4GB Flash, 4GB DRAM, 2 SLOTS NIM, 1 SLOT Sm, IP BASE (Fonte Interna)</t>
  </si>
  <si>
    <t>CLIPSTC320</t>
  </si>
  <si>
    <t>Clips TC320</t>
  </si>
  <si>
    <t>9018.90.95</t>
  </si>
  <si>
    <t>CB-6STP305M</t>
  </si>
  <si>
    <t>CAIXA DE CABO BLINDADO CAT 6 STP PRETO 305 METROS</t>
  </si>
  <si>
    <t>CONEC-RJ45</t>
  </si>
  <si>
    <t>CONECTORES RJ45 MACHO</t>
  </si>
  <si>
    <t>27599-999-999</t>
  </si>
  <si>
    <t>Jabra Evolve2 75 Link380a MS Stereo Black</t>
  </si>
  <si>
    <t>IBM-902821B</t>
  </si>
  <si>
    <t>IBM POWER S1012</t>
  </si>
  <si>
    <t>UAP-AC-M</t>
  </si>
  <si>
    <t>AP UBIQUIT UNFIUAP-AC-M</t>
  </si>
  <si>
    <t>487655B21</t>
  </si>
  <si>
    <t>(Acessórios) - HPE BLc 10G SFP+ SFP+ 3m DAC Cable</t>
  </si>
  <si>
    <t xml:space="preserve">HW  </t>
  </si>
  <si>
    <t>8544.42.00</t>
  </si>
  <si>
    <t>8X229A6</t>
  </si>
  <si>
    <t>HEADSET POLY BLACKWIRE 3225 STERED USB-CIA 3,5MM BULK</t>
  </si>
  <si>
    <t>4999-829-209</t>
  </si>
  <si>
    <t>Evolve 20 Duo UC</t>
  </si>
  <si>
    <t>85183000</t>
  </si>
  <si>
    <t>IBM-POWER-7063CR2</t>
  </si>
  <si>
    <t>HMC 7063-CR2-1</t>
  </si>
  <si>
    <t>FN-FG-70F</t>
  </si>
  <si>
    <t>FIREWALL - FG - WIRED - GIGABITS ETHEMET - HTPPS, IPV6, POWER SUPPLY</t>
  </si>
  <si>
    <t>TEL-CISCO7821</t>
  </si>
  <si>
    <t>TELEFONE CISCO IP 7821COM FONTE</t>
  </si>
  <si>
    <t>BATTC320</t>
  </si>
  <si>
    <t>BATERIA TC320-1</t>
  </si>
  <si>
    <t>8507.60.00</t>
  </si>
  <si>
    <t>C9200L-24T-4G</t>
  </si>
  <si>
    <t>EQUIPAMENTO COMUTADOR DE PACOTE DE DADOS EM REDE (SWITCH)  - CATALYST 9200L 24-PORT DATA, 4 X 1G, NETWORK ESSENTIALS - OBRIGATÓRIO LICENÇA DNA</t>
  </si>
  <si>
    <t>CON-SNT-C920L</t>
  </si>
  <si>
    <t>SERVIÇO - SNTC-8X5XNBD CATALYST 9200L 48-PORT DATA, 4 X 1G, NET</t>
  </si>
  <si>
    <t>01.07.0.12.1-7</t>
  </si>
  <si>
    <t>C9200L-DNA-E-48</t>
  </si>
  <si>
    <t>BUNDLE - C9200L   DNA ESSENTIALS, 48-PORT, 3 YEAR TERM LICENSE</t>
  </si>
  <si>
    <t>01.05.0.12.1-9</t>
  </si>
  <si>
    <t>C9300-48T-A-BR</t>
  </si>
  <si>
    <t>CATALYST 9300 48-PORT DATA ONLY, NETWORK ADVANTAGE - OBRIGATÓRIO LICENÇA DNA</t>
  </si>
  <si>
    <t>PWR-C1-715WAC-UP</t>
  </si>
  <si>
    <t>BUNDLE Upgrade to 715W AC 80+ platinum Config 1 Power Supply</t>
  </si>
  <si>
    <t>PWR-C1-350WAC-P/2</t>
  </si>
  <si>
    <t>BUNDLE 350W AC 80+ platinum Config 1 Secondary Power Supply</t>
  </si>
  <si>
    <t>STACK-T1-1M</t>
  </si>
  <si>
    <t>BUNDLE 1M Type 1 Stacking Cable</t>
  </si>
  <si>
    <t>CAB-SPWR-150CM</t>
  </si>
  <si>
    <t>BUNDLE CATALYST STACK POWER CABLE 150 CM - UPGRADE</t>
  </si>
  <si>
    <t>C9300-NM-8X</t>
  </si>
  <si>
    <t>BUNDLE Catalyst 9300 8 x, 10GE, Network Module Cisco BUNDLE</t>
  </si>
  <si>
    <t>C9200L-24T-4G-E-BR</t>
  </si>
  <si>
    <t xml:space="preserve"> CATALYST 9200L 24-PORT DATA, 4 X 1G, NETWORK ESSENTIALS - OBRIGATÓRIO LICENÇA DNA</t>
  </si>
  <si>
    <t>7244</t>
  </si>
  <si>
    <t>RACK PISO LITE STANDARD 16US X 570 PRETO</t>
  </si>
  <si>
    <t>9403.20.90</t>
  </si>
  <si>
    <t>PWR-C1-715WAC-P/2-BR</t>
  </si>
  <si>
    <t>BUNDLE 715W AC 80+ platinum Config 1 SecondaryPower Supply</t>
  </si>
  <si>
    <t>STACK-T1-50CM</t>
  </si>
  <si>
    <t>BUNDLE 50CM Type 1 Stacking Cable</t>
  </si>
  <si>
    <t>C9120AXI-Z-BR</t>
  </si>
  <si>
    <t>ACCESS POINT - CISCO CATALYST 9120AX SERIES</t>
  </si>
  <si>
    <t>8517.62.77</t>
  </si>
  <si>
    <t>PWR-C5-600WAC=_SC</t>
  </si>
  <si>
    <t>FONTE DE ALIMENTACAO 600W AC CONFIG 5 POWER SUPPLY</t>
  </si>
  <si>
    <t>8504.40.29</t>
  </si>
  <si>
    <t>PWR-C5-1KWAC=_SC</t>
  </si>
  <si>
    <t>FONTE RETIFICADO A SEMI CONDUTOR- 1KW AC CONFIG 5 POWER SUPPLY</t>
  </si>
  <si>
    <t>PWR-C5-1KWAC=_US</t>
  </si>
  <si>
    <t>1KW AC Config 5 Power, Supply</t>
  </si>
  <si>
    <t>85044029</t>
  </si>
  <si>
    <t>COTD2</t>
  </si>
  <si>
    <t xml:space="preserve">Cotovelo de 2" </t>
  </si>
  <si>
    <t>85176299</t>
  </si>
  <si>
    <t>HEADSET POLY VOYAGER FOCUS 2 TEAMS BLUETOOTH USB A ANC BASE</t>
  </si>
  <si>
    <t>CAB-SPWR-150CMV2</t>
  </si>
  <si>
    <t>BUNDLE CATALYST STACK POWER CABLE 150 CM - UPGRADEV2</t>
  </si>
  <si>
    <t>CAB-SPWR-150CMV3</t>
  </si>
  <si>
    <t>BUNDLE CATALYST STACK POWER CABLE 150 CM - UPGRADEV3</t>
  </si>
  <si>
    <t>C9300-48T-A-BRV2</t>
  </si>
  <si>
    <t>CATALYST 9300 48-PORT DATA ONLY, NETWORK ADVANTAGE - OBRIGATÓRIO LICENÇA DNAV2</t>
  </si>
  <si>
    <t>PWR-C1-715WAC-UPV2</t>
  </si>
  <si>
    <t>BUNDLE Upgrade to 715W AC 80+ platinum Config 1 Power SupplyV2</t>
  </si>
  <si>
    <t>PWR-C1-350WAC-P/2V2</t>
  </si>
  <si>
    <t>BUNDLE 350W AC 80+ platinum Config 1 Secondary Power SupplyV2</t>
  </si>
  <si>
    <t>STACK-T1-1MV2</t>
  </si>
  <si>
    <t>BUNDLE 1M Type 1 Stacking CableV2</t>
  </si>
  <si>
    <t>C9200L-48T-4G-E-BR</t>
  </si>
  <si>
    <t>(SWITCH)  - CATALYST 9200L 48-PORT DATA, 4 X 1G, NETWORK ESSENTIALS - OBRIGATÓRIO LICENÇA DNA</t>
  </si>
  <si>
    <t>CONVERSORMID</t>
  </si>
  <si>
    <t xml:space="preserve">CONVERSOR DE MIDIA GIGABIT </t>
  </si>
  <si>
    <t>85176259</t>
  </si>
  <si>
    <t xml:space="preserve">INJETOR POE </t>
  </si>
  <si>
    <t xml:space="preserve">INJETOR POE  + TL-POE160S </t>
  </si>
  <si>
    <t>CABO-939001</t>
  </si>
  <si>
    <t xml:space="preserve">STRONG USB 3.1 CABLE-GRAPHITE-USB-N/A-WW-9004-10M AOC CABLE </t>
  </si>
  <si>
    <t>CI-MR46E-HW</t>
  </si>
  <si>
    <t>Meraki MR46E Wi-Fi 6 Indoor AP w External Antenna Connectors</t>
  </si>
  <si>
    <t>CI-MA-ANT-3-A6</t>
  </si>
  <si>
    <t>Meraki Indoor Dual-band Dipole Ant, 6-pack for MR46E/MR53E v1</t>
  </si>
  <si>
    <t>8517.71.90</t>
  </si>
  <si>
    <t>CI-MA-ANT-3-E6</t>
  </si>
  <si>
    <t>Meraki Indoor Dual-band Wide Patch Ant, 6port MR46E/MR53E v2</t>
  </si>
  <si>
    <t>CI-MA-MNT-ANT</t>
  </si>
  <si>
    <t>ACESSORIO Meraki Standard Mounting Arm for E &amp; F Series Patch Antenn,</t>
  </si>
  <si>
    <t>CB-C9500-24Y</t>
  </si>
  <si>
    <t>Bundle composto de 1x C9500-24Y4C-A, 1x C9K-PWR-650WAC-R/2, 1x C9K-F1-SSD-240G</t>
  </si>
  <si>
    <t>CB-C9300-24UX</t>
  </si>
  <si>
    <t>BUNDLE COMPOSTO DE 1X C9300-24UX-E, 1X PWR-C1-1100WAC-P/2, 1X C9300-NM-2Q</t>
  </si>
  <si>
    <t>CB-C9200L-48P-</t>
  </si>
  <si>
    <t>BUNDLE COMPOSTO DE 1X C9200L-48P-4X-E, 1X STACK-T4-3M, 1X PWR-C5-1KWAC/2, 1X C9200L-STACK-KIT</t>
  </si>
  <si>
    <t>CB-C8300-1N1S</t>
  </si>
  <si>
    <t>CISCO CATALYST C8300-1N1S-4T2X ROUTER</t>
  </si>
  <si>
    <t>8517.62.49</t>
  </si>
  <si>
    <t>CONTOVELDE2</t>
  </si>
  <si>
    <t>CURVA GALV ELETROL 90˚ 2”</t>
  </si>
  <si>
    <t>7307.19.20</t>
  </si>
  <si>
    <t>CONTOVELDE2V2</t>
  </si>
  <si>
    <t>CURVA GALV ELETROL 90˚ 2”V2</t>
  </si>
  <si>
    <t>SPIRAFLEX-PRETO2</t>
  </si>
  <si>
    <t>CONDUITE HIPERFLEX 2”</t>
  </si>
  <si>
    <t xml:space="preserve">3917.39.00 </t>
  </si>
  <si>
    <t>ABRACADEIRA-2</t>
  </si>
  <si>
    <t xml:space="preserve">ABRACADEIRA D/CUNHA 2 </t>
  </si>
  <si>
    <t>7326.90.90</t>
  </si>
  <si>
    <t>ELETROPRODUTO_MED2</t>
  </si>
  <si>
    <t xml:space="preserve">ELETRODUTO GALV ELETROL MED 2 </t>
  </si>
  <si>
    <t>FITA_ISOLANTE</t>
  </si>
  <si>
    <t xml:space="preserve">FITA ISOLANTE IMPERIAL 18MMX20M PT
3M </t>
  </si>
  <si>
    <t>3919.10.20</t>
  </si>
  <si>
    <t>UNIDUTE_2</t>
  </si>
  <si>
    <t>7 UNIDUTE RETO 2 (UR200C) DAISA</t>
  </si>
  <si>
    <t>7609.00.00</t>
  </si>
  <si>
    <t>CAIXADEPASSAGEM</t>
  </si>
  <si>
    <t>UNIDUTE RETO 2 (UR200C) DAISA 12 36,04 432,43 7609.00.00 SP
8 CAIXA 20X20X10 CPS20 ALUM</t>
  </si>
  <si>
    <t>7616.99.00</t>
  </si>
  <si>
    <t>JL686B_SC</t>
  </si>
  <si>
    <t xml:space="preserve">	
EQUIPAMENTO COMUTADOR DE PACOTE DE DADOS EM REDE (SWITCH) ARUBA ION 1930 48G 4SFP+ 370W SW</t>
  </si>
  <si>
    <t>JL685A_SC</t>
  </si>
  <si>
    <t xml:space="preserve">	
EQUIPAMENTO COMUTADOR DE PACOTE DE DADOS EM REDE (SWITCH) ARUBA ION 1930 48G 4SFP+ SWITCH</t>
  </si>
  <si>
    <t>HYPERDUOPRO-7</t>
  </si>
  <si>
    <t xml:space="preserve">HyperDrive DUO PRO 7-in-2 USB-C Hub </t>
  </si>
  <si>
    <t>85176254</t>
  </si>
  <si>
    <t>CI-SFP-10G-LR-S</t>
  </si>
  <si>
    <t>ACESSORIO 10GBASE-LR SFP-Module, Enterprise-Class</t>
  </si>
  <si>
    <t>CI-GLC-TE</t>
  </si>
  <si>
    <t>ACESSORIO-1000BASE-T SFP-transceiver module for-Category 5 copper wir</t>
  </si>
  <si>
    <t>CI-SFP-10G-SR</t>
  </si>
  <si>
    <t>10GBASE-SR SFp-Module</t>
  </si>
  <si>
    <t>CI-GLC-LH-SMD</t>
  </si>
  <si>
    <t>ACESSORIO 1000BASE-LX/LH-SF- transceiver module, MMF/SMF, 1310nm, DOM</t>
  </si>
  <si>
    <t>CI-QSFP-H40G-1m</t>
  </si>
  <si>
    <t>ACESSORIO 40GBASE-Active-Optical Cable, 1m</t>
  </si>
  <si>
    <t>CI-QSFP-H40G3m</t>
  </si>
  <si>
    <t>ACESSORIO 40GBASE-Active-Optical Cable  3m</t>
  </si>
  <si>
    <t>58DBH00</t>
  </si>
  <si>
    <t>CARTUCHO DE-TORNER MS821, 825,-MS/MX725</t>
  </si>
  <si>
    <t>RDTC320</t>
  </si>
  <si>
    <t>radio Corporativo Rádio tc320</t>
  </si>
  <si>
    <t>8517.71.10</t>
  </si>
  <si>
    <t>SFP-10G-LR=</t>
  </si>
  <si>
    <t>10GBASE-LR SFP Module</t>
  </si>
  <si>
    <t xml:space="preserve">85176259 </t>
  </si>
  <si>
    <t xml:space="preserve">
580-AJIT</t>
  </si>
  <si>
    <t>KIT TECLADO E MOUSE DELL WIRELESS KM5221W - PRETO</t>
  </si>
  <si>
    <t>8471.60.52</t>
  </si>
  <si>
    <t>C9300-24P-E-BR</t>
  </si>
  <si>
    <t xml:space="preserve">EQUIPAMENTO COMUTADOR DE PACOTE DE DADOS EM REDE (SWITCH)  - CATALYST 9300 24-PORT POE+, NETWORK </t>
  </si>
  <si>
    <t>PWR-C1-1100WAC-UP</t>
  </si>
  <si>
    <t>BUNDLE Upgrade option 1100W AC 80+ platinum Config, 1 Power Supply</t>
  </si>
  <si>
    <t>PWR-C1-1100WAC-P/2</t>
  </si>
  <si>
    <t>BUNDLE 1100W AC 80+ platinum Config 1 Secondary, Power Supply</t>
  </si>
  <si>
    <t>C9300-48UXM-E-BR</t>
  </si>
  <si>
    <t xml:space="preserve"> (SWITCH) - CATALYST 9300 48-PORT(12 MGIG&amp;36 2.5GBPS) </t>
  </si>
  <si>
    <t>C9300-NM-8X=-BR</t>
  </si>
  <si>
    <t>(SWITCH) - CATALYST 9300 8 X 10GE NETWORK MODULE, SPARE</t>
  </si>
  <si>
    <t>C9130AXI-Z-BR</t>
  </si>
  <si>
    <t>PONTO DE ACESSO PARA REDE DIGITAL - CISCO CATALYST 9130AX SERIES</t>
  </si>
  <si>
    <t>STACK-T1-1M=_SC</t>
  </si>
  <si>
    <t>CABO DE REDE, TIPO: EMPILHAMENTO; - SPARE PART - 1M TYPE 1 STACKING CABLE;MARCA CISCO</t>
  </si>
  <si>
    <t>CS-DESKMINI-K9_SC</t>
  </si>
  <si>
    <t>TERMINAL DE VIDEOCONFERENCIA - CISCO DESK MINI</t>
  </si>
  <si>
    <t>STACK-T1-3M=_SC</t>
  </si>
  <si>
    <t>CABO DE CONEXAO-SPARE PART - CABO COM CONECTOR - 3M TYPE 1 STACKING CABLE</t>
  </si>
  <si>
    <t>HS-WL-722-BUNA-C</t>
  </si>
  <si>
    <t>Headset 722 Wireless Dual On-ear Carbon Black USBA Bundle</t>
  </si>
  <si>
    <t>SFP-10G-SR=_SC</t>
  </si>
  <si>
    <t>MODULO ELETRONICO INTERCABIVEL-TRANSCEPTOR OPTICO GBIC -  10GBASE-SR SFP MODULE</t>
  </si>
  <si>
    <t>A09FRLA#AK4_ES</t>
  </si>
  <si>
    <t>HP NOTEBOOK ELITEBOOK 840 G10 I7-1355U 16GB (1X16GB) 512GB SSD W11 PRO</t>
  </si>
  <si>
    <t>8471.30.12</t>
  </si>
  <si>
    <t>KVR52S42BS8-16</t>
  </si>
  <si>
    <t>MEM KINGSTON DDR5 16GB  P/NOTEBOOK</t>
  </si>
  <si>
    <t>8473.30.42</t>
  </si>
  <si>
    <t>TESTELIC</t>
  </si>
  <si>
    <t>TESTE LICENCIAMENTO</t>
  </si>
  <si>
    <t>TESTESW</t>
  </si>
  <si>
    <t>TESTE SOFTWARE</t>
  </si>
  <si>
    <t>TESTESRT</t>
  </si>
  <si>
    <t>TESTE SERVICO TERCEIRO</t>
  </si>
  <si>
    <t>SRT</t>
  </si>
  <si>
    <t>MR57-HW_SC</t>
  </si>
  <si>
    <t>PONTO DE ACESSO PARA REDE DIGITAL SEM FIO MERAKI - MERAKI MR57 WI-FI 6E INDOOR AP</t>
  </si>
  <si>
    <t>CI-MS210-48LP-HW</t>
  </si>
  <si>
    <t>DISTRIBUIDOR DE CONEXOES PARA REDES Meraki MS210-48LP 1G L2 Cld-Mngd 4</t>
  </si>
  <si>
    <t>85176234</t>
  </si>
  <si>
    <t>CI-MA-PWR-CORD-BR</t>
  </si>
  <si>
    <t>CABO, Meraki AC Power Cord for MX and MS (Brazil Plug)</t>
  </si>
  <si>
    <t>85444200</t>
  </si>
  <si>
    <t>SFP-10G-LR-S=_US</t>
  </si>
  <si>
    <t>FAST TRACK__10GBASE-LR SFP Module, Enterprise-Class</t>
  </si>
  <si>
    <t>C9200L-48T-4G-E</t>
  </si>
  <si>
    <t>Cisco Catalyst 9200L, 48 portas 10/100/1000, 4G, E DNA License</t>
  </si>
  <si>
    <t>C9300-24S-A-BR</t>
  </si>
  <si>
    <t>CATALYST 9300  24 GE SFP PORTS, MODULAR UPLINK SWITCH - OBRIGATÓRIO LICENÇA DNA</t>
  </si>
  <si>
    <t>C1121-4PLTEP_US</t>
  </si>
  <si>
    <t>FAST TRACK__ISR 1100 4P Dual GE SFP Router Pluggable SMS/GPS</t>
  </si>
  <si>
    <t>85176249</t>
  </si>
  <si>
    <t>ACS-1100-RM2-19_INT</t>
  </si>
  <si>
    <t>Cisco 1100 Series Router Rackmount 2 Wallmount Kit</t>
  </si>
  <si>
    <t>P-LTEA7-EAL_INT</t>
  </si>
  <si>
    <t>CAT7 LTE Advanced PIM for EMEA, APAC, LatAm</t>
  </si>
  <si>
    <t>C1300-24FP-4G_US</t>
  </si>
  <si>
    <t>FAST TRACK__Catalyst 1300 24-port GE, Full PoE, 4x1G SFP</t>
  </si>
  <si>
    <t xml:space="preserve">
C9200L-48P-4X-E-BR</t>
  </si>
  <si>
    <t xml:space="preserve"> (SWITCH)  - CATALYST 9200L 48-PORT POE+, 4 X 10G, NETWORK ESSENTIALS - OBRIGATÓRIO LICENÇA DNA</t>
  </si>
  <si>
    <t>EQUIPAMENTO COMUTADOR DE PACOTE DE DADOS EM REDE (SWITCH) - CATALYST 9300  24 GE SFP PORTS, MODULAR-UPLINK SWITCH - OBRIGATÓRIO LICENÇA DNA</t>
  </si>
  <si>
    <t>TESTELIC5LC</t>
  </si>
  <si>
    <t>TESTE LICENCIAMENTO -5LC</t>
  </si>
  <si>
    <t>TESTESW5SW</t>
  </si>
  <si>
    <t>TESTE SOFTWARE -5SW</t>
  </si>
  <si>
    <t>TESTESRT5</t>
  </si>
  <si>
    <t>TESTE SERVICO TERCEIRO -5ST</t>
  </si>
  <si>
    <t>C9300-48P-A_US</t>
  </si>
  <si>
    <t>Catalyst930048-portPoE+,NetworkAdvantage</t>
  </si>
  <si>
    <t>5431</t>
  </si>
  <si>
    <t>BANDEJA FIXA 19 X 500MM PRETA - 7908083900046</t>
  </si>
  <si>
    <t>1487</t>
  </si>
  <si>
    <t>REGUA DE TOMADA NOVO PADR - 7908564202799</t>
  </si>
  <si>
    <t>8536.30.90</t>
  </si>
  <si>
    <t>6689</t>
  </si>
  <si>
    <t>PATCH CORD CAT6 1,5MTS CINZA (COBRE)</t>
  </si>
  <si>
    <t>5528</t>
  </si>
  <si>
    <t>KIT PORCA GAIOLA + PARAFUSO</t>
  </si>
  <si>
    <t>7318.16.00</t>
  </si>
  <si>
    <t>910-006250</t>
  </si>
  <si>
    <t>MOUSE S/FIO BLUETOOTH LOGITECH SIGNATURE M650 GRAFITE B2B</t>
  </si>
  <si>
    <t>84716053</t>
  </si>
  <si>
    <t>7599-842-109</t>
  </si>
  <si>
    <t>Jabra Evolve 75 SE Stereo MS</t>
  </si>
  <si>
    <t>P51174-B21_0251</t>
  </si>
  <si>
    <t>(HPE Synergy) - HPE Synergy 12000 CTO Frame</t>
  </si>
  <si>
    <t>8473.30.19</t>
  </si>
  <si>
    <t>P39531-B21_0175</t>
  </si>
  <si>
    <t>(HPE Synergy) - HPE SY480 Gen11 Base CTO Cmpt Mdl</t>
  </si>
  <si>
    <t>8471.50.10</t>
  </si>
  <si>
    <t>AF590A</t>
  </si>
  <si>
    <t>(Acessórios) - HPE 2m 15A C20 C13 Univ Jpr Cord</t>
  </si>
  <si>
    <t>845406-B21</t>
  </si>
  <si>
    <t>(Acessórios) - HPE 100Gb QSFP28 to QSFP28 3m DAC</t>
  </si>
  <si>
    <t>C9300-NM-8X_INT</t>
  </si>
  <si>
    <t>FAST TRACK__Catalyst 9300 8 x 10GE Network Module</t>
  </si>
  <si>
    <t>P59421-B21</t>
  </si>
  <si>
    <t>(Acessórios) - -HPE/EN G3 B 1P 7.3kVA 0U/1U INTL PDU</t>
  </si>
  <si>
    <t>8537.10.90</t>
  </si>
  <si>
    <t>C9400-DNA-A-3Y</t>
  </si>
  <si>
    <t>Cisco Catalyst 9400 DNA Advantage 3 Year License</t>
  </si>
  <si>
    <t>TESTEOC5OC</t>
  </si>
  <si>
    <t>TESTE OC-5OC</t>
  </si>
  <si>
    <t>14101-45</t>
  </si>
  <si>
    <t>Foam Ear Cushion, EVOLVE 20-65 PACK C/10 UNID. – 05 PARES</t>
  </si>
  <si>
    <t>85189090</t>
  </si>
  <si>
    <t>580-AJIT</t>
  </si>
  <si>
    <t>84716052</t>
  </si>
  <si>
    <t>83Z46AA#AC4_x000D_</t>
  </si>
  <si>
    <t xml:space="preserve">SISTEMA HP POLY STUDIO VC X30 COM TC8
83Z46AA#AC4 </t>
  </si>
  <si>
    <t>HDMI10M</t>
  </si>
  <si>
    <t xml:space="preserve">CABOS HDMI 10 METROS 2.0 ULTRA HD </t>
  </si>
  <si>
    <t>P51174-B210251</t>
  </si>
  <si>
    <t>(HPE Synergy)  HPE Synergy 12000 CTO Frame</t>
  </si>
  <si>
    <t>P39531-B210175</t>
  </si>
  <si>
    <t>(HPE Synergy)  HPE SY480 Gen11 Base CTO Cmpt Mdl</t>
  </si>
  <si>
    <t>AF590A_</t>
  </si>
  <si>
    <t>(Acessórios)  HPE 2m 15A C20 C13 Univ Jpr Cord</t>
  </si>
  <si>
    <t>845406B21_v2</t>
  </si>
  <si>
    <t>HPE 100Gb, QSFP28 to, QSFP28 3m, DAC</t>
  </si>
  <si>
    <t>C9400-LC-12QC</t>
  </si>
  <si>
    <t>Cisco Catalyst 9400 Series 12-Port 40GE/4-port 100GE</t>
  </si>
  <si>
    <t xml:space="preserve">8517.62.34 </t>
  </si>
  <si>
    <t>P59421B21_</t>
  </si>
  <si>
    <t>(Acessórios) - HPE/EN G3 B 1P 7.3kVA 0U/1U INTL, PDU</t>
  </si>
  <si>
    <t>8D8L1AA#A C4</t>
  </si>
  <si>
    <t>Módulo Poly X52 AVB c/TC10K BRA</t>
  </si>
  <si>
    <t>P87625312</t>
  </si>
  <si>
    <t>3a Poly+ Studio X52 TC10</t>
  </si>
  <si>
    <t>107</t>
  </si>
  <si>
    <t>875L8AA</t>
  </si>
  <si>
    <t>Módulo Poly X52/V52 WM</t>
  </si>
  <si>
    <t>83025000</t>
  </si>
  <si>
    <t>85X03AA#AC4</t>
  </si>
  <si>
    <t>PLY Trio C60 PSU CAT5 BR</t>
  </si>
  <si>
    <t>HPE 32GB</t>
  </si>
  <si>
    <t>SKHYNIX 32GB 2RX4 DDR4-2933Y RDIMM</t>
  </si>
  <si>
    <t>84733042</t>
  </si>
  <si>
    <t xml:space="preserve">EAP650 </t>
  </si>
  <si>
    <t>ACCESS POINT WI-FI 8 DE TETO AX3000 EAP850</t>
  </si>
  <si>
    <t>Outros - Fami - 5411396394</t>
  </si>
  <si>
    <t>85176277</t>
  </si>
  <si>
    <t>C9400-LC-48T</t>
  </si>
  <si>
    <t>Cisco Catalyst 9400 Series 48-Port 10/100/1000 (RJ-45)</t>
  </si>
  <si>
    <t>TLSG3452XP</t>
  </si>
  <si>
    <t>SWITCH GERENCIAVEL 48P GIGABIT POE+ 4 SFP+</t>
  </si>
  <si>
    <t>C9400-LC-48XS</t>
  </si>
  <si>
    <t>Cisco Catalyst 9400 Series 48-Port 10 Gigabit Ethernet(SFP+)</t>
  </si>
  <si>
    <t>SX6632YF</t>
  </si>
  <si>
    <t>SWITCH GERENCIAVEL L3 EMPILHAVEL 28P C/ 20 P</t>
  </si>
  <si>
    <t>842F8AA</t>
  </si>
  <si>
    <t>Módulo Poly E70 SCMR</t>
  </si>
  <si>
    <t>85258929</t>
  </si>
  <si>
    <t>99T09AA#AC3</t>
  </si>
  <si>
    <t>Mód Poly G62 VCS</t>
  </si>
  <si>
    <t>85176900</t>
  </si>
  <si>
    <t>A02FDAA</t>
  </si>
  <si>
    <t>Plca de montagem Poly G62</t>
  </si>
  <si>
    <t>A02F9AA#AC4</t>
  </si>
  <si>
    <t>Kit Poly G62 PoE+ CBL</t>
  </si>
  <si>
    <t>85258919</t>
  </si>
  <si>
    <t>875K5AA</t>
  </si>
  <si>
    <t>Acessório Poly TC10 TC PRE</t>
  </si>
  <si>
    <t>85371019</t>
  </si>
  <si>
    <t>874R4AA</t>
  </si>
  <si>
    <t>Módulo Poly G7500 WM</t>
  </si>
  <si>
    <t>39269090</t>
  </si>
  <si>
    <t>874P8AA</t>
  </si>
  <si>
    <t>Acessório Poly TC10 PRE WM</t>
  </si>
  <si>
    <t>875H4AA</t>
  </si>
  <si>
    <t>Acessório Poly AOC (40M)</t>
  </si>
  <si>
    <t>119EWM</t>
  </si>
  <si>
    <t>TELA DE PROJEÇÃO - TELA ELETRICA TENSIONADA</t>
  </si>
  <si>
    <t>9010.60.00</t>
  </si>
  <si>
    <t>C1300-48T-4G_SC</t>
  </si>
  <si>
    <t xml:space="preserve"> CATALYST 1300 48-PORT GE, 4X1G SFP</t>
  </si>
  <si>
    <t>CON-L1NBD-C130048T-3Y</t>
  </si>
  <si>
    <t>CX LEVEL 1 8X5XNBD Catalyst 1300 48-port GE, 4x1G SFP</t>
  </si>
  <si>
    <t>10701217</t>
  </si>
  <si>
    <t>WPP30</t>
  </si>
  <si>
    <t xml:space="preserve">	
Pod de apresentação sem fio WPP30</t>
  </si>
  <si>
    <t>Outros - 2164790403</t>
  </si>
  <si>
    <t>85176291</t>
  </si>
  <si>
    <t>C9200L-48P-4X-E-BR</t>
  </si>
  <si>
    <t>CATALYST, 9200L- 48-PORT POE+,, 4 X 10G, NETWORK ESSENTIALS - OBRIGATÓRIO LICENÇA DNA</t>
  </si>
  <si>
    <t>C9200L-24P-4X-E-BR</t>
  </si>
  <si>
    <t>CATALYST 9200L 24-PORT POE+,, 4 X 10G, NETWORK ESSENTIALS  OBRIGATÓRIO LICENÇA DNA</t>
  </si>
  <si>
    <t>R2H28A</t>
  </si>
  <si>
    <t>Aruba AP-505 (RW) Unified, AP</t>
  </si>
  <si>
    <t xml:space="preserve">85176277
</t>
  </si>
  <si>
    <t>R3J18A</t>
  </si>
  <si>
    <t xml:space="preserve">	
AP-MNT-D, AP mount, bracket individual D</t>
  </si>
  <si>
    <t>85177091</t>
  </si>
  <si>
    <t>7K2F3AA</t>
  </si>
  <si>
    <t>Fone ouv Poly VOY 5200 USB-A BTHS+BT700</t>
  </si>
  <si>
    <t xml:space="preserve">85176299
</t>
  </si>
  <si>
    <t xml:space="preserve"> 2105028-2</t>
  </si>
  <si>
    <t>95921 CD.DUPL. SM- OS2 LC/LC LSZH 2,0M</t>
  </si>
  <si>
    <t>8544.7010</t>
  </si>
  <si>
    <t>2105028-0</t>
  </si>
  <si>
    <t>96018 CD.DUPL. SM- OS2 LC/LC LSZH 10,0M</t>
  </si>
  <si>
    <t>DECO S7 PACK/3</t>
  </si>
  <si>
    <t>ROTEADOR WI-FI 5 MESH DUAL-BAND AC1900 DECO S7 PACK C/ 3 NACIONAL </t>
  </si>
  <si>
    <t>85176241 </t>
  </si>
  <si>
    <t> DECO S7 PACK/2</t>
  </si>
  <si>
    <t>ROTEADOR WI-FI 5 MESH DUAL-BAND AC1900 DECO S7 PACK C/ 2 NACIONAL </t>
  </si>
  <si>
    <t>C9200L-DNA-E-48-5Y</t>
  </si>
  <si>
    <t>LICENÇA DE USO - C9200L CISCO DNA ESSENTIALS, 48-PORT, 5 YEAR TERM LICENSE</t>
  </si>
  <si>
    <t>TL-SG3452XP</t>
  </si>
  <si>
    <t>SWITCH GERENCIAVEL 48P GIGABIT POE+ 4 SFP+ 10GE 3TL-SG3452XP</t>
  </si>
  <si>
    <t>TL-SG3428XMP</t>
  </si>
  <si>
    <t>SWITCH GERENCIAVEL GIGABIT 24P POE TL-SG3428XMP</t>
  </si>
  <si>
    <t>EAP245v4</t>
  </si>
  <si>
    <t>ACCESS POINT WI-FI 8 DE TETO AX3000 EAP653v4</t>
  </si>
  <si>
    <t>TL-ER7206</t>
  </si>
  <si>
    <t xml:space="preserve">ROTEADOR VPN GIGABIT MULTI-WAN TL-ER7206 </t>
  </si>
  <si>
    <t>C9400SSD-480GB</t>
  </si>
  <si>
    <t>Cisco Catalyst 9400 Series 480GB M2 SATA memory (Supervisor)</t>
  </si>
  <si>
    <t>EAP245v2</t>
  </si>
  <si>
    <t>ACCESS POINT WIRELESS GIGABIT TETO AC1750 EAP245v2</t>
  </si>
  <si>
    <t>ER7212PCv2</t>
  </si>
  <si>
    <t>ROTEADOR GIGABIT VPN OMADA 3 EM 1 ER7212PCv2</t>
  </si>
  <si>
    <t>TL-SG3452XPv2</t>
  </si>
  <si>
    <t>SWITCH GERENCIAVEL 48P GIGABIT POE+ 4 SFP+ 10GE 3TL-SG3452XPv2</t>
  </si>
  <si>
    <t>SM5220-1M</t>
  </si>
  <si>
    <t>CABO DE CONEXAO DIRETA 10G SFP+ DE 1 METRO SM5220-1M</t>
  </si>
  <si>
    <t>4281</t>
  </si>
  <si>
    <t>Cabo de Rede CAT5E U/UTP CMX Multilan - Pt -
23200091 FURUKAWA</t>
  </si>
  <si>
    <t>8544.49.00</t>
  </si>
  <si>
    <t>2389</t>
  </si>
  <si>
    <t>Conector RJ45 CAT5E Macho</t>
  </si>
  <si>
    <t>8536.90.90</t>
  </si>
  <si>
    <t>9322</t>
  </si>
  <si>
    <t xml:space="preserve">Capa para RJ45 Snap - Pt </t>
  </si>
  <si>
    <t xml:space="preserve">CP-7821 </t>
  </si>
  <si>
    <t>Cisco IP Phone 7821 Black</t>
  </si>
  <si>
    <t>85171300</t>
  </si>
  <si>
    <t>WLMT0-T22B6CBC2</t>
  </si>
  <si>
    <t>ZEBRA IMPORT COLETOR DE DADOS TC22 WLAN, WIFI 6, SE55 ER, TELA 6 POL, 6GB/64GB</t>
  </si>
  <si>
    <t>8471.90.90</t>
  </si>
  <si>
    <t>CBL-TC5X-USBC2A</t>
  </si>
  <si>
    <t>ZEBRA IMPORT TC21/TC26 - CABO USB TIPO C PARA CARGA E COMUNICACAO</t>
  </si>
  <si>
    <t>TRG-TC2L-SNP</t>
  </si>
  <si>
    <t xml:space="preserve">ZEBRA IMPO TC22/TC27 - PISTOLA COM GATILHO PARA ACOPLAR AO COLETOR </t>
  </si>
  <si>
    <t>8473.30.90</t>
  </si>
  <si>
    <t>PWR-WUA5V12</t>
  </si>
  <si>
    <t>ZEBRA IMPORTA FONTE COM PLUG PADRAO BRASIL 100-240VAC / 2,5A / 5,0V1</t>
  </si>
  <si>
    <t>SG-TC2L-BOOT-01</t>
  </si>
  <si>
    <t>ZEBRA IMPO TC22/TC27 - CAPA PROTETORA EXOESQUELETO DE BORRACHA</t>
  </si>
  <si>
    <t xml:space="preserve">DS2208-SR7U21 </t>
  </si>
  <si>
    <t>ZEBRA LEITOR DE CODIGO DE BARRAS DS2208 PRETO COM SUPORTE</t>
  </si>
  <si>
    <t>8471.90.12</t>
  </si>
  <si>
    <t>C9407Rv2</t>
  </si>
  <si>
    <t>Cisco Catalyst 9400 Series 7 slot chassis</t>
  </si>
  <si>
    <t>C9400-PWR-2100</t>
  </si>
  <si>
    <t>Cisco Catalyst 9400 Series 2100W AC Power Supply</t>
  </si>
  <si>
    <t>C9400-SSD-480GB</t>
  </si>
  <si>
    <t>Cisco Catalyst 9400 Series 480GB M2 SATA memory (Supervisor)V1</t>
  </si>
  <si>
    <t>C9400X-SUP-2</t>
  </si>
  <si>
    <t>Cisco Catalyst 9400 Series Supervisor 2 Module</t>
  </si>
  <si>
    <t>C9400X-SUP-2/2</t>
  </si>
  <si>
    <t>Cisco Catalyst 9400 Series Red Supervisor 2 Module</t>
  </si>
  <si>
    <t>Cisco Catalyst 9400 Series Redundant Supervisor 2 Module</t>
  </si>
  <si>
    <t>CAB-SPWR-30CM</t>
  </si>
  <si>
    <t>FAST TRACK__Catalyst Stack Power Cable 30 CM</t>
  </si>
  <si>
    <t>CONL1NBD-C9407</t>
  </si>
  <si>
    <t>CX LEVEL 1 8X5XNBD Cisco Catalyst 9400 Series 7 slot chassis</t>
  </si>
  <si>
    <t>CON-L1SWT-C94A</t>
  </si>
  <si>
    <t>CX LEVEL 1 SW SUB Cisco Catalyst 9400</t>
  </si>
  <si>
    <t>C9300X-24Y-E_US</t>
  </si>
  <si>
    <t>Catalyst 9300X  24x25G Fiber Ports, modular uplink SwitchV1</t>
  </si>
  <si>
    <t>CON-L1NBDC9300</t>
  </si>
  <si>
    <t>CX LEVEL 1 8X5XNBD Catalyst 9300X 24x25G Fiber Ports, modul</t>
  </si>
  <si>
    <t>CON-L1SWT-C9300ED_US</t>
  </si>
  <si>
    <t>CX LEVEL 1 SW SUB C9300 DNA Essentials</t>
  </si>
  <si>
    <t>C9300-DNA-L-E3Y</t>
  </si>
  <si>
    <t>DNA Essentials 3 Year License</t>
  </si>
  <si>
    <t>PWRC1-715WAC</t>
  </si>
  <si>
    <t>715W AC 80+ platinum Config 1 Power Supply Spare</t>
  </si>
  <si>
    <t>C9300X-NM-8Y</t>
  </si>
  <si>
    <t>Catalyst 9300 8 x 10G/25G Network Module SFP+/SFP28V1</t>
  </si>
  <si>
    <t>C9407R</t>
  </si>
  <si>
    <t>CON-L1NBD-C9407R-5Y</t>
  </si>
  <si>
    <t>CX LEVEL 1 8X5XNBD Cisco Catalyst 9400 Series 7 slot chassis 5Year</t>
  </si>
  <si>
    <t>CON-L1SWT-C94A-5Y</t>
  </si>
  <si>
    <t>CX LEVEL 1 SW SUB Cisco Catalyst 9400 5Year</t>
  </si>
  <si>
    <t>GLC-LH-SMD=_US</t>
  </si>
  <si>
    <t>FAST TRACK__1000BASE-LX/LH SFP transceiver module, MMF/SMF, 1310nm, DOM</t>
  </si>
  <si>
    <t>C9400PWR-2100</t>
  </si>
  <si>
    <t>GLC-TE=_US</t>
  </si>
  <si>
    <t>FAST TRACK__1000BASE-T SFP transceiver module for Category 5 copper wire</t>
  </si>
  <si>
    <t>J4859D</t>
  </si>
  <si>
    <t>HPE Aruba Netwoking 1 G SFP LC LX 10Km</t>
  </si>
  <si>
    <t>JH236A</t>
  </si>
  <si>
    <t>(Acessórios) - HPE X242 40G QSFP+ to QSFP+ 5m DAC Cable</t>
  </si>
  <si>
    <t>SFP-10G-SR=</t>
  </si>
  <si>
    <t>10GBASE-SR SFP Module</t>
  </si>
  <si>
    <t xml:space="preserve">	
HPE X242 40G QSFP+ to QSFP+ 5m DAC Cable</t>
  </si>
  <si>
    <t>QSFP-100G-AOC7M=</t>
  </si>
  <si>
    <t>100GBASE QSFP Active Optical Cable, 7m</t>
  </si>
  <si>
    <t>CS-BRDP55-K9_US</t>
  </si>
  <si>
    <t>Cisco Board Pro 55 G2</t>
  </si>
  <si>
    <t>CS-BRD55P-FS_INT</t>
  </si>
  <si>
    <t>Cisco Webex Board Pro 55 Floor stand</t>
  </si>
  <si>
    <t>CS-BRD55P-WUK_INT</t>
  </si>
  <si>
    <t>Cisco Board Pro 55 Wheel Upgrade Kit</t>
  </si>
  <si>
    <t>CS-BRDP-ACTSTYL_INT</t>
  </si>
  <si>
    <t>Cisco Webex Board Pro Active Stylus</t>
  </si>
  <si>
    <t xml:space="preserve">
P52533-B21_0844</t>
  </si>
  <si>
    <t>HPE DL380 Gen11 12LFF NC CTO Svr 1 x P49617-B21 - INT Xeon-B 3408U CPU for HPE 1 x P49617-B21#0D1 - Factory Integrated</t>
  </si>
  <si>
    <t>84715010</t>
  </si>
  <si>
    <t xml:space="preserve">
E6U64ABE</t>
  </si>
  <si>
    <t xml:space="preserve">
HPE iLO Adv Elec Lic 3yr Support</t>
  </si>
  <si>
    <t>00000000</t>
  </si>
  <si>
    <t>P52533-B21_0843</t>
  </si>
  <si>
    <t>HPE DL380 Gen11 12LFF NC CTO Svr 1 x P49617-B21  INT Xeon-B 3408U CPU for HPE 1 x P49617-B21#0D1 - Factory Integrated</t>
  </si>
  <si>
    <t>HA114A1</t>
  </si>
  <si>
    <t xml:space="preserve">
HPE Installation and Startup Service</t>
  </si>
  <si>
    <t>HU4A6A5</t>
  </si>
  <si>
    <t xml:space="preserve">
HPE 5Y Tech Care Essential SVC</t>
  </si>
  <si>
    <t xml:space="preserve">
HU4A6A500DK</t>
  </si>
  <si>
    <t xml:space="preserve">
HPE DL380 Gen11 Support</t>
  </si>
  <si>
    <t>P52533-B21_0845</t>
  </si>
  <si>
    <t xml:space="preserve">
P52533-B210842</t>
  </si>
  <si>
    <t>SS 5531 MFW</t>
  </si>
  <si>
    <t>CONTROLADOR DE ACESSO FACIAL SS 5531 MF W 4680256 INTELBRAS</t>
  </si>
  <si>
    <t>85437099</t>
  </si>
  <si>
    <t>FPR1140-NGFW-K9</t>
  </si>
  <si>
    <t>EQUIPAMENTO DE SEGURANÇA PARA TRANSMISSÃO DE DADOS EM REDE FIREWALL- CISCO FIREPOWER 1140 NGFW APPLIANCE, 1U</t>
  </si>
  <si>
    <t>CON-SNT-FR11P40</t>
  </si>
  <si>
    <t>SERVIÇO - SNTC-8X5XNBD CISCO FIREPOWER 1140 NGFW APPLIANCE, 1U</t>
  </si>
  <si>
    <t>FPR1140-ASA-K9_</t>
  </si>
  <si>
    <t>CISCO FIREPOWER 1140 ASA APPLIANCE, 1U</t>
  </si>
  <si>
    <t>CON-SNT-F11401Y</t>
  </si>
  <si>
    <t>SERVIÇO - SNTC-8X5XNBD CISCO FIREPOWER 1140 ASA APPLIANCE 1U</t>
  </si>
  <si>
    <t>SNV3S/1000G</t>
  </si>
  <si>
    <t>KINGSTON SSD 1TB NV3 M.2 2280 PCIE 4.0 NVME</t>
  </si>
  <si>
    <t>84717040</t>
  </si>
  <si>
    <t>OC200</t>
  </si>
  <si>
    <t>CONTROLADOR CLOUD OMADA OC200</t>
  </si>
  <si>
    <t>PWR-C1-715WAC-P</t>
  </si>
  <si>
    <t>FAST TRACK__715W AC 80+ platinum Config 1 SecondaryPower Supply</t>
  </si>
  <si>
    <t>85176239</t>
  </si>
  <si>
    <t>P59421B21</t>
  </si>
  <si>
    <t>STACK-T1-3M_INT</t>
  </si>
  <si>
    <t>3M Type 1 Stacking Cable</t>
  </si>
  <si>
    <t>TL-SM5110-SR</t>
  </si>
  <si>
    <t>GBIC MODULO SFP+ 10G LC DUPLEX MULTIMODOv4</t>
  </si>
  <si>
    <t>GBIC MODULO SFP+ 10G LC DUPLEX MULTIMODO TL-SM5110-SR</t>
  </si>
  <si>
    <t>TL-SM5220-1M</t>
  </si>
  <si>
    <t>CABO DE CONEXAO DIRETA 10G SFP+ DE 1 METRO</t>
  </si>
  <si>
    <t>CW9166I-ROW_US</t>
  </si>
  <si>
    <t>FAST TRACK__Catalyst 9166I AP (W6E, tri-band 4x4, XOR) w/Reg-ROW</t>
  </si>
  <si>
    <t>CON-SSSNP-C9800</t>
  </si>
  <si>
    <t>SOLN SUPP 24X7X4C9800-L-F-K9</t>
  </si>
  <si>
    <t>CON-SSSNP-N9348</t>
  </si>
  <si>
    <t>SOLN SUPP 24X7X4N9K-C9348GC-FXP</t>
  </si>
  <si>
    <t>CON-SSSNP-93108</t>
  </si>
  <si>
    <t>SOLN SUPP 24X7X4N9K-C93108TC-EX</t>
  </si>
  <si>
    <t>CON-SSSNT-DN2HW</t>
  </si>
  <si>
    <t>SOLN SUPP 8X5XNBDDN2-HW-APL-U</t>
  </si>
  <si>
    <t>CON-SSSNP-C9502</t>
  </si>
  <si>
    <t>SOLN SUPP 24X7X4C9500-24Y4C-A</t>
  </si>
  <si>
    <t>CON-SNT-ISR4221</t>
  </si>
  <si>
    <t>STD 8X5XNBDISR4221/K9</t>
  </si>
  <si>
    <t>C8300-1N1S-6TUS</t>
  </si>
  <si>
    <t>FAST TRACK__Cisco Catalyst C8300-1N1S-6T Router</t>
  </si>
  <si>
    <t xml:space="preserve">85176249
</t>
  </si>
  <si>
    <t>C9300L-STACK-KI</t>
  </si>
  <si>
    <t>FAST TRACK__Cisco Catalyst 9300L Stacking Kit</t>
  </si>
  <si>
    <t>C9200L-24P-4G-E</t>
  </si>
  <si>
    <t>FAST TRACK__Catalyst 9200L 24-port PoE+, 4 x 1G, Network Essentials</t>
  </si>
  <si>
    <t>CON-L1SWT-C92LE24</t>
  </si>
  <si>
    <t>CX LEVEL 1 SW SUB C9200L Cisco DNA Ess</t>
  </si>
  <si>
    <t>CONL1NBDC920L24</t>
  </si>
  <si>
    <t>CX LEVEL 1 8X5XNBD Catalyst 9200L 24-port PoE+, 4 x 1G, Netw</t>
  </si>
  <si>
    <t>C9200L-DNAE243Y</t>
  </si>
  <si>
    <t>FAST TRACK__C9200L DNA Essentials, 24-port, 3 Year Term license</t>
  </si>
  <si>
    <t xml:space="preserve">C9200L-48P4G-E </t>
  </si>
  <si>
    <t>FAST TRACK__Catalyst 9200L 48-port PoE+, 4 x 1G, Network Essentials</t>
  </si>
  <si>
    <t>CONL1NBDC92004G</t>
  </si>
  <si>
    <t>CX LEVEL 1 8X5XNBD Catalyst 9200L 48-port PoE+, 4 x 1G, Netw</t>
  </si>
  <si>
    <t>CONL1SWTC92LE48</t>
  </si>
  <si>
    <t>C9200L-DNA-E-48-3Y</t>
  </si>
  <si>
    <t>FAST TRACK__C9200L DNA Essentials, 48-port, 3 Year Term license</t>
  </si>
  <si>
    <t>CON-L1NBD-C92004GE</t>
  </si>
  <si>
    <t>CON-L1SWT-C92LE48</t>
  </si>
  <si>
    <t>C9200L-STACK-KIT</t>
  </si>
  <si>
    <t>FAST TRACK__Cisco Catalyst 9200L Stack Module</t>
  </si>
  <si>
    <t>C9300-24S-A_C3</t>
  </si>
  <si>
    <t>FAST TRACK__Catalyst 9300 24 GE SFP Ports, modular uplink Switch</t>
  </si>
  <si>
    <t>CON-L1NBD-C930024A</t>
  </si>
  <si>
    <t>CX LEVEL 1 8X5XNBD Catalyst 9300 24 GE SFP Ports, modular u</t>
  </si>
  <si>
    <t>CON-L1SWT-C93A24</t>
  </si>
  <si>
    <t>CX LEVEL 1 SW SUB C9300 DNA Advantage</t>
  </si>
  <si>
    <t>C9300-DNA-A-24S-3Y</t>
  </si>
  <si>
    <t>C9300 DNA Advantage, 24-Port Fiber, 3 Year Term License</t>
  </si>
  <si>
    <t>PWR-C1-715WACP2</t>
  </si>
  <si>
    <t>715W AC 80+ platinum Config 1 SecondaryPower Supply</t>
  </si>
  <si>
    <t>50CM Type 1 Stacking Cable</t>
  </si>
  <si>
    <t>CAB-SPWR-30CM_C3</t>
  </si>
  <si>
    <t>Catalyst Stack Power Cable 30 CM V2</t>
  </si>
  <si>
    <t>C9300-NM-8X_C3</t>
  </si>
  <si>
    <t>Catalyst 9300 8 x 10GE Network Module</t>
  </si>
  <si>
    <t>FAST TRACK__Catalyst930024-portdataonly,NetworkAdvantage</t>
  </si>
  <si>
    <t>CON-L1NBD-C93002TA</t>
  </si>
  <si>
    <t>CX LEVEL 1 8X5XNBD Catalyst 9300 24-port data only, Network</t>
  </si>
  <si>
    <t>C9300-DNA-A-24-3Y</t>
  </si>
  <si>
    <t>C9300 DNA Advantage, 24-Port, 3 Year Term License</t>
  </si>
  <si>
    <t>350W AC 80+ platinum Config 1 Secondary Power Supply</t>
  </si>
  <si>
    <t>CAB-SPWR-30CM SW</t>
  </si>
  <si>
    <t>Catalyst Stack Power Cable 30 CM</t>
  </si>
  <si>
    <t>C9300-NM-8X 10</t>
  </si>
  <si>
    <t>Catalyst 9300 NM 8x  10GE Network Module</t>
  </si>
  <si>
    <t>C9200L-DNA-E-24-3Y</t>
  </si>
  <si>
    <t>CON-L1NBD-C920L24G</t>
  </si>
  <si>
    <t>CON-L1NBD-C9200L4X</t>
  </si>
  <si>
    <t>CX LEVEL 1 8X5XNBD Catalyst 9200L 48-port PoE+, 4 x 10G, Net</t>
  </si>
  <si>
    <t>STACK-T4-1M_C3</t>
  </si>
  <si>
    <t>1M Type 4 Stacking Cable</t>
  </si>
  <si>
    <t>85177900</t>
  </si>
  <si>
    <t>C9200CX-8P-2X2G-E_C3</t>
  </si>
  <si>
    <t>FAST TRACK__Catalyst 9000 Compact Switch 8 port PoE+, 240W, Essentials</t>
  </si>
  <si>
    <t>C9200CX-DNAE8-3Y</t>
  </si>
  <si>
    <t>C9200CX Cisco DNA Essentials, 3Y Term License, 8P</t>
  </si>
  <si>
    <t>OG-OM2216-L-EU</t>
  </si>
  <si>
    <t>16 Serial,8GRAM,64GFlash,1GbE,Gbl LTE,EU</t>
  </si>
  <si>
    <t>C9200LDNAE24-5Y</t>
  </si>
  <si>
    <t>LICENÇA DE USO - C9200L CISCO DNA ESSENTIALS, 24-PORT, 5 YEAR TERM LICENSE</t>
  </si>
  <si>
    <t>UBIQUITI U6</t>
  </si>
  <si>
    <t>AP UBIQUITI UNIFI U6-ENTERPRISE S/F</t>
  </si>
  <si>
    <t>NBRK0750</t>
  </si>
  <si>
    <t>APARELHO NETBOTZ 750 RACK APPLIANCE</t>
  </si>
  <si>
    <t>84715090</t>
  </si>
  <si>
    <t>NBPD0150</t>
  </si>
  <si>
    <t>NETBOTZ POD EM RACK EXPANSAO PARA MAIS 6 SENSORES</t>
  </si>
  <si>
    <t>NBPD0165</t>
  </si>
  <si>
    <t>CAMERA NETBOTZ 165 .</t>
  </si>
  <si>
    <t>85437039</t>
  </si>
  <si>
    <t>NBES0302</t>
  </si>
  <si>
    <t>NETBOTZ SENSOR ABERTURA DE PORTAS OU RACKS DE TERCEIROS</t>
  </si>
  <si>
    <t>85311090</t>
  </si>
  <si>
    <t>AP9335TH</t>
  </si>
  <si>
    <t>SENSOR TEMPERATURA E UMIDADE ESENSOR DE TEMPERAT</t>
  </si>
  <si>
    <t>90258000</t>
  </si>
  <si>
    <t>ATS-01106</t>
  </si>
  <si>
    <t>ANTENNA PATCH WIFI 476RPTP</t>
  </si>
  <si>
    <t>U09XDE_SC</t>
  </si>
  <si>
    <t>HP MANUTENÇÃO DE EQUIPAMENTO PARA NOTEBOOK COM ACTIVE CARE 3 ANOS ON SITE</t>
  </si>
  <si>
    <t>A09FPLA#AK4_ES</t>
  </si>
  <si>
    <t>84713012</t>
  </si>
  <si>
    <t>KVR48S40BS8-16_ES</t>
  </si>
  <si>
    <t>MEM KINGSTON DDR5 16GB 4800MHZ P/NOTEBOOK</t>
  </si>
  <si>
    <t>5TW10AA#AC4_ES</t>
  </si>
  <si>
    <t>HP DOCKSTATION G5 USB-C PARA NOTEBOOK 60W</t>
  </si>
  <si>
    <t>84718000</t>
  </si>
  <si>
    <t>C9300-24T-A-BR_4775193994_1</t>
  </si>
  <si>
    <t>EQUIPAMENTO COMUTADOR DE PACOTE DE DADOS EM REDE (SWITCH)  - CATALYST 9300 24-PORT DATA ONLY, NETWORK ADVANTAGE - OBRIGATÓRIO LICENÇA DNA</t>
  </si>
  <si>
    <t>PWRC1-350WACP/2</t>
  </si>
  <si>
    <t>350W AC 80+ platinum Config 1 Secondary Power Supply BUNDLE</t>
  </si>
  <si>
    <t>CONL1NBD-C93002</t>
  </si>
  <si>
    <t>C9300-DNA-A-24-3Y-BR_1</t>
  </si>
  <si>
    <t>LICENÇA DE USO - C9300 DNA ADVANTAGE, 24-PORT, 3 YEAR TERM LICENSE</t>
  </si>
  <si>
    <t>10501219</t>
  </si>
  <si>
    <t xml:space="preserve">C9300-24T-A-BR_4775193994_2 </t>
  </si>
  <si>
    <t>EQUIPAMENTO COMUTADOR DE PACOTE DE DADOS EM REDE (SWITCH)  - CATALYST 9300 24-PORT DATA ONLY, NETWORK ADVANTAGE - OBRIGATÓRIO LICENÇA DNA BUNDLE</t>
  </si>
  <si>
    <t xml:space="preserve">STACK-T1-50CM-BR_2 - </t>
  </si>
  <si>
    <t>EQUIPAMENTO COMUTADOR DE PACOTE DE DADOS EM REDE (SWITCH)  - 50CM TYPE 1 STACKING CABLE BUNDLE</t>
  </si>
  <si>
    <t xml:space="preserve">C9300-NM-8X-BR_2 - </t>
  </si>
  <si>
    <t>EQUIPAMENTO COMUTADOR DE PACOTE DE DADOS EM REDE (SWITCH) - CATALYST 9300 8 X 10GE NETWORK MODULE BUNDLE</t>
  </si>
  <si>
    <t xml:space="preserve">GLC-LH-SMD </t>
  </si>
  <si>
    <t>GBIC CISCO 1310nm 1000BASELX/LH</t>
  </si>
  <si>
    <t>C9300LDNA-E48</t>
  </si>
  <si>
    <t>C9300L Cisco DNA Essentials, 48-port, 3 Year Term license</t>
  </si>
  <si>
    <t>CON-VSXLBMDC-5Y</t>
  </si>
  <si>
    <t>SUPORTE DE 5 ANOS ROOM KIT EQ - ESS WITH 8X5XNBD ESS WITH 8X5XNBD Roo</t>
  </si>
  <si>
    <t>CON-CSMIAYTC-5Y</t>
  </si>
  <si>
    <t>SUPORTE DE 5 ANOS TABLE MICROPHONE PRO -ESS WITH 8X5XNBD Cisco Table Microphone Pro (w/11m cable)</t>
  </si>
  <si>
    <t>CON-CS1F4KCA-5Y</t>
  </si>
  <si>
    <t>SUPORTE DE 5 ANOS CAMERA PTZ - PAN-TILT-ZOOM 4K 20X CAMERA ESS WITH 8X5XNBD</t>
  </si>
  <si>
    <t>CS-KIT-EQ-K9</t>
  </si>
  <si>
    <t>TERMINAL DE VIDEOCONFERENCIA - ROOM KIT EQ W/CODEC EQ, QUAD CAM (WHITE) AND NAVIGATOR</t>
  </si>
  <si>
    <t>CS-CODEC-EQ-WMK</t>
  </si>
  <si>
    <t>PARTES E ACESSÓRIOS - WALL MOUNT KIT FOR CODEC EQ</t>
  </si>
  <si>
    <t>CAB-2HDMI-1.5M-GR</t>
  </si>
  <si>
    <t>CABO COM CONECTOR - CAB 1.5M GREY HDMI 2.0 - SECOND MONITOR HDMI CABLE</t>
  </si>
  <si>
    <t>CS-MIC-ARRAY-T-C=</t>
  </si>
  <si>
    <t>MICROFONE - CISCO TABLE MICROPHONE PRO (W/11M CABLE), CARBON BLACK-SPARE</t>
  </si>
  <si>
    <t>85181090</t>
  </si>
  <si>
    <t>CAB-CAT5E-CMP-20M=</t>
  </si>
  <si>
    <t>Ethernet CAT5E Plenum Rated, 20 meter, Gray - SPARE</t>
  </si>
  <si>
    <t>CS-CAM-PTZ4K</t>
  </si>
  <si>
    <t>TERMINAL DE VIDEOCONFERENCIA - PAN-TILT-ZOOM 4K 20X CAMERA</t>
  </si>
  <si>
    <t>CS-PTZ4K-BRKT</t>
  </si>
  <si>
    <t>PARTES E PEÇAS - BRACKET FOR MOUNTING OF PTZ 4K CAMERA</t>
  </si>
  <si>
    <t>CS-PTZ4K-CLNGMNT</t>
  </si>
  <si>
    <t>PARTES E PEÇAS - BRACKET FOR CEILING MOUNTING OF PTZ 4K CAMERA</t>
  </si>
  <si>
    <t>PSU-12VDC-40W2</t>
  </si>
  <si>
    <t>FONTE RETIFICADA A SEMICONDUTOR - POWER SUPPLY 12 VDC 40W</t>
  </si>
  <si>
    <t>CS-CODEC-EQ-RCK</t>
  </si>
  <si>
    <t>PARTES E ACESSÓRIOS - RACK EARS FOR THE CODEC EQ - FOR MOUNTING IN RACK</t>
  </si>
  <si>
    <t>83024200</t>
  </si>
  <si>
    <t>SFP-10G-SR 10</t>
  </si>
  <si>
    <t>GBIC Cisco 10G SFP SR</t>
  </si>
  <si>
    <t>J4859D HP</t>
  </si>
  <si>
    <t>Aruba 1000BASE-SX SFP Transceiver Module</t>
  </si>
  <si>
    <t>QSFP-100G-AOC7M</t>
  </si>
  <si>
    <t>Cisco QSFP Active Optical Cable, 7m</t>
  </si>
  <si>
    <t>1E7D6UT_ES</t>
  </si>
  <si>
    <t>HP MOCHILA PRELUDE 15.6</t>
  </si>
  <si>
    <t>4202.92.00</t>
  </si>
  <si>
    <t>3B4Q5UT#ABA</t>
  </si>
  <si>
    <t>HP MOUSE 435 MULTIDEVICE SEM FIO</t>
  </si>
  <si>
    <t>8471.60.53</t>
  </si>
  <si>
    <t>CIHSW321CUSBC</t>
  </si>
  <si>
    <t>HEADSET 321 WIRED SINGLE ON-EAR CARBON BLACK USB-C</t>
  </si>
  <si>
    <t>CIHSW322CUSBC</t>
  </si>
  <si>
    <t>HEADSET 322 WIRED DUAL ON-EAR CARBON BLACK USB-C</t>
  </si>
  <si>
    <t>CIHSWL730BUNAC</t>
  </si>
  <si>
    <t>HANDSET 730 Wireless Dual) On-ear Headset USB-A Bundle - Carbon Black</t>
  </si>
  <si>
    <t>CIHSWL722BUNAC</t>
  </si>
  <si>
    <t>HEADSET 722 WIRELESS DUAL ON-EAR CARBON BLACK USBA  BUNDLE</t>
  </si>
  <si>
    <t>85176272</t>
  </si>
  <si>
    <t>CSCODECEQRCK V1</t>
  </si>
  <si>
    <t xml:space="preserve"> ACESSÓRIOS - RACK EARS FOR THE CODEC EQ - FOR MOUNTING IN RACK</t>
  </si>
  <si>
    <t>C1300-8T-E-2G_SC</t>
  </si>
  <si>
    <t>EQUIPAMENTO COMUTADOR DE PACOTE DE DADOS EM REDE (SWITCH) - CATALYST 1300 8-PORT GE, EXT PS, 2X1G COMBO</t>
  </si>
  <si>
    <t>C1300-24T-4G_SC</t>
  </si>
  <si>
    <t>EQUIPAMENTO COMUTADOR DE PACOTE DE DADOS EM REDE (SWITCH) - CATALYST 1300 24-PORT GE, 4X1G SFP</t>
  </si>
  <si>
    <t>RCKMNT-CMPCT-1K=_SC</t>
  </si>
  <si>
    <t>KIT DE MONTAGEM - 19 INCH RACK MOUNT FOR COMPACT C1000, CBS350 AND CBS250</t>
  </si>
  <si>
    <t>1234567890</t>
  </si>
  <si>
    <t>ABC1234567890</t>
  </si>
  <si>
    <t>11 99790-5616</t>
  </si>
  <si>
    <t>AVENUE HOCHE COMERCIO VAREJISTA DE PRODUTOS LTDA</t>
  </si>
  <si>
    <t>71.219-900</t>
  </si>
  <si>
    <t>ZONA INDUSTRIAL (GUARA)</t>
  </si>
  <si>
    <t>A SMAS</t>
  </si>
  <si>
    <t>6580 LUC 153-A/B PISO TERREO SHOPPING CENTER DE BRASILIA</t>
  </si>
  <si>
    <t>PO 5000155346</t>
  </si>
  <si>
    <t xml:space="preserve">RENATO FERRARO </t>
  </si>
  <si>
    <t>15.048.124/0036-44</t>
  </si>
  <si>
    <t>SIM</t>
  </si>
  <si>
    <t>Elizabeth Silva</t>
  </si>
  <si>
    <t>Elizabeth.SILVA@sephora.com</t>
  </si>
  <si>
    <t>QUALQUER FATURAMENTO DEVE SER REALIZADO SOMENTE APÓS AUTORIZAÇÃO FORMAL DE GAMARO@INTERATELL.COM.BR OU DOLIVEIRA@INTERATELL.COM.BR
NÃO FATURAR APÓS DIA 25 DE CADA MÊS (DATA DE CORTE)
ENVIAR NOTAS E BOLETOS PARA O EMAIL: FINANCEIRO@INTERATELL.COM.BR
PRAZO DE PAGAMENTO EM 60 DIAS</t>
  </si>
  <si>
    <t xml:space="preserve">2026.12257 </t>
  </si>
  <si>
    <t>OBS: Recebimento de NF de 01/08 até 18/08.</t>
  </si>
  <si>
    <t>FONEBP516 _</t>
  </si>
  <si>
    <t>Fone blindado para modelo BP516 _</t>
  </si>
  <si>
    <t>RADIOBP516 _</t>
  </si>
  <si>
    <t>Rádio corporativo modelo BP516 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</si>
</sst>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d/m/yyyy"/>
    <numFmt numFmtId="166" formatCode="_(* #,##0.00_);_(* \(#,##0.00\);_(* &quot;-&quot;??_);_(@_)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0"/>
      <color rgb="FF0033CC"/>
      <name val="Arial"/>
      <family val="2"/>
    </font>
    <font>
      <b/>
      <sz val="9"/>
      <color indexed="81"/>
      <name val="Segoe UI"/>
      <family val="2"/>
    </font>
    <font>
      <b/>
      <sz val="11"/>
      <color rgb="FF00206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9"/>
      <color indexed="81"/>
      <name val="Segoe UI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b/>
      <sz val="12"/>
      <color theme="0"/>
      <name val="Arial"/>
      <family val="2"/>
    </font>
    <font>
      <b/>
      <sz val="11"/>
      <name val="Arial"/>
      <family val="2"/>
    </font>
    <font>
      <sz val="11"/>
      <color rgb="FF0033CC"/>
      <name val="Arial"/>
      <family val="2"/>
    </font>
    <font>
      <sz val="11"/>
      <color theme="4" tint="-0.499984740745262"/>
      <name val="Arial"/>
      <family val="2"/>
    </font>
    <font>
      <b/>
      <sz val="11"/>
      <color rgb="FFFF0000"/>
      <name val="Arial"/>
      <family val="2"/>
    </font>
    <font>
      <u/>
      <sz val="11"/>
      <color theme="1"/>
      <name val="Arial"/>
      <family val="2"/>
    </font>
    <font>
      <b/>
      <sz val="11"/>
      <color rgb="FF0033CC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sz val="11"/>
      <color rgb="FF242424"/>
      <name val="Inherit"/>
    </font>
    <font>
      <sz val="11"/>
      <color theme="1"/>
      <name val="Inherit"/>
    </font>
    <font>
      <b/>
      <sz val="10"/>
      <color rgb="FF0033CC"/>
      <name val="Arial"/>
      <family val="2"/>
      <charset val="1"/>
    </font>
    <font>
      <sz val="10"/>
      <name val="Arial"/>
      <family val="2"/>
    </font>
    <font>
      <sz val="11"/>
      <color rgb="FF0033CC"/>
      <name val="Arial"/>
      <family val="2"/>
      <charset val="1"/>
    </font>
    <font>
      <sz val="11"/>
      <color theme="1"/>
      <name val="Arial"/>
      <family val="2"/>
      <charset val="1"/>
    </font>
    <font>
      <u/>
      <sz val="11"/>
      <color theme="10"/>
      <name val="Calibri"/>
      <family val="2"/>
      <scheme val="minor"/>
    </font>
    <font>
      <b/>
      <u/>
      <sz val="11"/>
      <color rgb="FFFF0000"/>
      <name val="Arial Narrow"/>
      <family val="2"/>
    </font>
    <font>
      <sz val="14"/>
      <color rgb="FF002060"/>
      <name val="Arial Narrow"/>
      <family val="2"/>
    </font>
    <font>
      <b/>
      <sz val="14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rgb="FFF2F2F2"/>
      </patternFill>
    </fill>
  </fills>
  <borders count="34">
    <border>
      <left/>
      <right/>
      <top/>
      <bottom/>
      <diagonal/>
    </border>
    <border>
      <left style="thick">
        <color theme="0" tint="-4.9989318521683403E-2"/>
      </left>
      <right/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ck">
        <color theme="0" tint="-4.9989318521683403E-2"/>
      </left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ck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ck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thick">
        <color theme="0" tint="-4.9989318521683403E-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 tint="0.49998474074526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/>
      <top/>
      <bottom style="thin">
        <color theme="0" tint="-4.9989318521683403E-2"/>
      </bottom>
      <diagonal/>
    </border>
    <border>
      <left/>
      <right style="thin">
        <color theme="1" tint="0.499984740745262"/>
      </right>
      <top/>
      <bottom style="thin">
        <color theme="0" tint="-4.9989318521683403E-2"/>
      </bottom>
      <diagonal/>
    </border>
    <border>
      <left/>
      <right style="thin">
        <color theme="1" tint="0.499984740745262"/>
      </right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1" tint="0.49998474074526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1" tint="0.49998474074526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1" tint="0.49998474074526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1" tint="0.499984740745262"/>
      </bottom>
      <diagonal/>
    </border>
    <border>
      <left style="thin">
        <color theme="0" tint="-4.9989318521683403E-2"/>
      </left>
      <right style="thin">
        <color theme="1" tint="0.499984740745262"/>
      </right>
      <top style="thin">
        <color theme="0" tint="-4.9989318521683403E-2"/>
      </top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1" tint="0.499984740745262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 tint="0.499984740745262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89318521683401"/>
      </left>
      <right/>
      <top style="thin">
        <color theme="0" tint="-4.9989318521683403E-2"/>
      </top>
      <bottom style="thin">
        <color theme="0" tint="-4.9989318521683403E-2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8" fillId="0" borderId="0" applyFill="0" applyProtection="0"/>
    <xf numFmtId="0" fontId="9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66" fontId="26" fillId="0" borderId="0" applyFont="0" applyFill="0" applyBorder="0" applyAlignment="0" applyProtection="0"/>
  </cellStyleXfs>
  <cellXfs count="148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3" fontId="7" fillId="0" borderId="0" xfId="1" applyFont="1" applyFill="1" applyBorder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0" fontId="19" fillId="2" borderId="20" xfId="0" applyFont="1" applyFill="1" applyBorder="1" applyAlignment="1" applyProtection="1">
      <alignment vertical="center"/>
      <protection locked="0"/>
    </xf>
    <xf numFmtId="0" fontId="19" fillId="2" borderId="9" xfId="0" applyFont="1" applyFill="1" applyBorder="1" applyAlignment="1" applyProtection="1">
      <alignment horizontal="left" vertical="center"/>
      <protection locked="0"/>
    </xf>
    <xf numFmtId="0" fontId="19" fillId="2" borderId="9" xfId="0" applyFont="1" applyFill="1" applyBorder="1" applyAlignment="1">
      <alignment horizontal="center" vertical="center"/>
    </xf>
    <xf numFmtId="49" fontId="19" fillId="2" borderId="9" xfId="0" applyNumberFormat="1" applyFont="1" applyFill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2" borderId="25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43" fontId="3" fillId="0" borderId="0" xfId="1" applyFont="1" applyFill="1" applyBorder="1" applyAlignment="1" applyProtection="1">
      <alignment vertical="center"/>
      <protection locked="0"/>
    </xf>
    <xf numFmtId="0" fontId="3" fillId="2" borderId="27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164" fontId="3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1" xfId="0" applyNumberFormat="1" applyFont="1" applyFill="1" applyBorder="1" applyAlignment="1" applyProtection="1">
      <alignment horizontal="center" vertical="center"/>
      <protection locked="0"/>
    </xf>
    <xf numFmtId="164" fontId="3" fillId="2" borderId="26" xfId="1" applyNumberFormat="1" applyFont="1" applyFill="1" applyBorder="1" applyAlignment="1" applyProtection="1">
      <alignment vertical="center"/>
      <protection locked="0"/>
    </xf>
    <xf numFmtId="164" fontId="3" fillId="2" borderId="10" xfId="0" applyNumberFormat="1" applyFont="1" applyFill="1" applyBorder="1" applyAlignment="1" applyProtection="1">
      <alignment horizontal="center" vertical="center"/>
      <protection locked="0"/>
    </xf>
    <xf numFmtId="164" fontId="3" fillId="2" borderId="24" xfId="1" applyNumberFormat="1" applyFont="1" applyFill="1" applyBorder="1" applyAlignment="1" applyProtection="1">
      <alignment vertical="center"/>
      <protection locked="0"/>
    </xf>
    <xf numFmtId="164" fontId="3" fillId="2" borderId="27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27" xfId="0" applyNumberFormat="1" applyFont="1" applyFill="1" applyBorder="1" applyAlignment="1" applyProtection="1">
      <alignment horizontal="center" vertical="center"/>
      <protection locked="0"/>
    </xf>
    <xf numFmtId="164" fontId="3" fillId="2" borderId="28" xfId="0" applyNumberFormat="1" applyFont="1" applyFill="1" applyBorder="1" applyAlignment="1" applyProtection="1">
      <alignment horizontal="center" vertical="center"/>
      <protection locked="0"/>
    </xf>
    <xf numFmtId="164" fontId="3" fillId="2" borderId="29" xfId="1" applyNumberFormat="1" applyFont="1" applyFill="1" applyBorder="1" applyAlignment="1" applyProtection="1">
      <alignment vertical="center"/>
      <protection locked="0"/>
    </xf>
    <xf numFmtId="0" fontId="19" fillId="2" borderId="5" xfId="0" applyFont="1" applyFill="1" applyBorder="1" applyAlignment="1" applyProtection="1">
      <alignment horizontal="left" vertical="center"/>
      <protection locked="0"/>
    </xf>
    <xf numFmtId="0" fontId="2" fillId="2" borderId="18" xfId="0" applyFont="1" applyFill="1" applyBorder="1" applyAlignment="1">
      <alignment vertical="center"/>
    </xf>
    <xf numFmtId="0" fontId="15" fillId="2" borderId="5" xfId="0" applyFont="1" applyFill="1" applyBorder="1" applyAlignment="1">
      <alignment horizontal="left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 wrapText="1"/>
    </xf>
    <xf numFmtId="0" fontId="14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 wrapText="1"/>
    </xf>
    <xf numFmtId="0" fontId="3" fillId="2" borderId="21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vertical="center" wrapText="1"/>
    </xf>
    <xf numFmtId="0" fontId="3" fillId="2" borderId="19" xfId="0" applyFont="1" applyFill="1" applyBorder="1" applyAlignment="1">
      <alignment vertical="center"/>
    </xf>
    <xf numFmtId="0" fontId="15" fillId="2" borderId="5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/>
    </xf>
    <xf numFmtId="0" fontId="15" fillId="2" borderId="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3" fillId="6" borderId="17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3" fillId="6" borderId="0" xfId="0" applyFont="1" applyFill="1" applyAlignment="1">
      <alignment vertical="center"/>
    </xf>
    <xf numFmtId="0" fontId="3" fillId="6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" vertical="center"/>
    </xf>
    <xf numFmtId="49" fontId="15" fillId="2" borderId="0" xfId="0" applyNumberFormat="1" applyFont="1" applyFill="1" applyAlignment="1">
      <alignment horizontal="center" vertical="center"/>
    </xf>
    <xf numFmtId="14" fontId="15" fillId="2" borderId="0" xfId="0" applyNumberFormat="1" applyFont="1" applyFill="1" applyAlignment="1">
      <alignment horizontal="left" vertical="center" wrapText="1"/>
    </xf>
    <xf numFmtId="0" fontId="15" fillId="2" borderId="0" xfId="0" applyFont="1" applyFill="1" applyAlignment="1">
      <alignment horizontal="left" vertical="center"/>
    </xf>
    <xf numFmtId="0" fontId="2" fillId="2" borderId="18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21" fillId="2" borderId="5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3" fillId="2" borderId="13" xfId="0" applyFont="1" applyFill="1" applyBorder="1" applyAlignment="1">
      <alignment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/>
    </xf>
    <xf numFmtId="0" fontId="3" fillId="2" borderId="15" xfId="0" applyFont="1" applyFill="1" applyBorder="1" applyAlignment="1">
      <alignment vertical="center"/>
    </xf>
    <xf numFmtId="0" fontId="3" fillId="2" borderId="16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 wrapText="1"/>
    </xf>
    <xf numFmtId="0" fontId="15" fillId="2" borderId="0" xfId="0" applyFont="1" applyFill="1" applyAlignment="1">
      <alignment horizontal="left" vertical="center" wrapText="1"/>
    </xf>
    <xf numFmtId="0" fontId="3" fillId="2" borderId="17" xfId="0" applyFont="1" applyFill="1" applyBorder="1" applyAlignment="1">
      <alignment vertical="center"/>
    </xf>
    <xf numFmtId="14" fontId="15" fillId="2" borderId="0" xfId="0" applyNumberFormat="1" applyFont="1" applyFill="1" applyAlignment="1">
      <alignment horizontal="left" vertical="center"/>
    </xf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18" fillId="2" borderId="0" xfId="0" applyFont="1" applyFill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4" fillId="7" borderId="23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 wrapText="1" shrinkToFit="1"/>
    </xf>
    <xf numFmtId="0" fontId="4" fillId="7" borderId="24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vertical="center"/>
    </xf>
    <xf numFmtId="0" fontId="2" fillId="0" borderId="32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24" fillId="0" borderId="32" xfId="0" applyFont="1" applyBorder="1" applyAlignment="1">
      <alignment horizontal="center"/>
    </xf>
    <xf numFmtId="0" fontId="27" fillId="9" borderId="5" xfId="0" applyFont="1" applyFill="1" applyBorder="1" applyAlignment="1">
      <alignment horizontal="left" vertical="center"/>
    </xf>
    <xf numFmtId="0" fontId="27" fillId="9" borderId="5" xfId="0" applyFont="1" applyFill="1" applyBorder="1" applyAlignment="1" applyProtection="1">
      <alignment horizontal="left" vertical="center"/>
      <protection locked="0"/>
    </xf>
    <xf numFmtId="1" fontId="27" fillId="9" borderId="5" xfId="0" applyNumberFormat="1" applyFont="1" applyFill="1" applyBorder="1" applyAlignment="1" applyProtection="1">
      <alignment horizontal="left" vertical="center"/>
      <protection locked="0"/>
    </xf>
    <xf numFmtId="49" fontId="27" fillId="9" borderId="0" xfId="0" applyNumberFormat="1" applyFont="1" applyFill="1" applyAlignment="1" applyProtection="1">
      <alignment horizontal="left" vertical="center"/>
      <protection locked="0"/>
    </xf>
    <xf numFmtId="165" fontId="27" fillId="9" borderId="0" xfId="0" applyNumberFormat="1" applyFont="1" applyFill="1" applyAlignment="1" applyProtection="1">
      <alignment horizontal="left" vertical="center"/>
      <protection locked="0"/>
    </xf>
    <xf numFmtId="49" fontId="27" fillId="9" borderId="0" xfId="0" applyNumberFormat="1" applyFont="1" applyFill="1" applyAlignment="1">
      <alignment horizontal="left" vertical="center"/>
    </xf>
    <xf numFmtId="0" fontId="27" fillId="9" borderId="0" xfId="0" applyFont="1" applyFill="1" applyAlignment="1" applyProtection="1">
      <alignment horizontal="left" vertical="center"/>
      <protection locked="0"/>
    </xf>
    <xf numFmtId="0" fontId="28" fillId="9" borderId="0" xfId="0" applyFont="1" applyFill="1" applyAlignment="1">
      <alignment horizontal="left" vertical="center"/>
    </xf>
    <xf numFmtId="0" fontId="3" fillId="2" borderId="11" xfId="0" applyFont="1" applyFill="1" applyBorder="1" applyAlignment="1" applyProtection="1">
      <alignment horizontal="center" vertical="center" wrapText="1"/>
      <protection locked="0"/>
    </xf>
    <xf numFmtId="0" fontId="29" fillId="2" borderId="5" xfId="5" applyFill="1" applyBorder="1" applyAlignment="1" applyProtection="1">
      <alignment horizontal="left" vertical="center"/>
      <protection locked="0"/>
    </xf>
    <xf numFmtId="0" fontId="30" fillId="9" borderId="5" xfId="0" applyFont="1" applyFill="1" applyBorder="1" applyAlignment="1">
      <alignment horizontal="left" vertical="center"/>
    </xf>
    <xf numFmtId="0" fontId="29" fillId="9" borderId="5" xfId="5" applyFill="1" applyBorder="1" applyAlignment="1" applyProtection="1">
      <alignment horizontal="left" vertical="center"/>
      <protection locked="0"/>
    </xf>
    <xf numFmtId="1" fontId="19" fillId="9" borderId="5" xfId="0" applyNumberFormat="1" applyFont="1" applyFill="1" applyBorder="1" applyAlignment="1" applyProtection="1">
      <alignment horizontal="left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5" xfId="0" applyFont="1" applyFill="1" applyBorder="1" applyAlignment="1" applyProtection="1">
      <alignment horizontal="center" vertical="center"/>
      <protection locked="0"/>
    </xf>
    <xf numFmtId="0" fontId="3" fillId="2" borderId="7" xfId="0" applyFont="1" applyFill="1" applyBorder="1" applyAlignment="1" applyProtection="1">
      <alignment horizontal="center" vertical="center"/>
      <protection locked="0"/>
    </xf>
    <xf numFmtId="0" fontId="4" fillId="7" borderId="4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25" fillId="9" borderId="33" xfId="0" applyFont="1" applyFill="1" applyBorder="1" applyAlignment="1" applyProtection="1">
      <alignment horizontal="left" vertical="center"/>
      <protection locked="0"/>
    </xf>
    <xf numFmtId="0" fontId="4" fillId="7" borderId="6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0" fontId="20" fillId="2" borderId="1" xfId="0" applyFont="1" applyFill="1" applyBorder="1" applyAlignment="1" applyProtection="1">
      <alignment horizontal="left" vertical="top" wrapText="1"/>
      <protection locked="0"/>
    </xf>
    <xf numFmtId="0" fontId="20" fillId="2" borderId="2" xfId="0" applyFont="1" applyFill="1" applyBorder="1" applyAlignment="1" applyProtection="1">
      <alignment horizontal="left" vertical="top"/>
      <protection locked="0"/>
    </xf>
    <xf numFmtId="0" fontId="20" fillId="2" borderId="22" xfId="0" applyFont="1" applyFill="1" applyBorder="1" applyAlignment="1" applyProtection="1">
      <alignment horizontal="left" vertical="top"/>
      <protection locked="0"/>
    </xf>
    <xf numFmtId="0" fontId="20" fillId="2" borderId="3" xfId="0" applyFont="1" applyFill="1" applyBorder="1" applyAlignment="1" applyProtection="1">
      <alignment horizontal="left" vertical="top"/>
      <protection locked="0"/>
    </xf>
    <xf numFmtId="0" fontId="20" fillId="2" borderId="0" xfId="0" applyFont="1" applyFill="1" applyAlignment="1" applyProtection="1">
      <alignment horizontal="left" vertical="top"/>
      <protection locked="0"/>
    </xf>
    <xf numFmtId="0" fontId="20" fillId="2" borderId="17" xfId="0" applyFont="1" applyFill="1" applyBorder="1" applyAlignment="1" applyProtection="1">
      <alignment horizontal="left" vertical="top"/>
      <protection locked="0"/>
    </xf>
    <xf numFmtId="0" fontId="20" fillId="2" borderId="9" xfId="0" applyFont="1" applyFill="1" applyBorder="1" applyAlignment="1" applyProtection="1">
      <alignment horizontal="left" vertical="top"/>
      <protection locked="0"/>
    </xf>
    <xf numFmtId="0" fontId="20" fillId="2" borderId="8" xfId="0" applyFont="1" applyFill="1" applyBorder="1" applyAlignment="1" applyProtection="1">
      <alignment horizontal="left" vertical="top"/>
      <protection locked="0"/>
    </xf>
    <xf numFmtId="0" fontId="20" fillId="2" borderId="21" xfId="0" applyFont="1" applyFill="1" applyBorder="1" applyAlignment="1" applyProtection="1">
      <alignment horizontal="left" vertical="top"/>
      <protection locked="0"/>
    </xf>
    <xf numFmtId="0" fontId="31" fillId="2" borderId="1" xfId="0" applyFont="1" applyFill="1" applyBorder="1" applyAlignment="1" applyProtection="1">
      <alignment horizontal="left" vertical="top" wrapText="1"/>
      <protection locked="0"/>
    </xf>
    <xf numFmtId="0" fontId="32" fillId="2" borderId="2" xfId="0" applyFont="1" applyFill="1" applyBorder="1" applyAlignment="1" applyProtection="1">
      <alignment horizontal="left" vertical="top"/>
      <protection locked="0"/>
    </xf>
    <xf numFmtId="0" fontId="32" fillId="2" borderId="22" xfId="0" applyFont="1" applyFill="1" applyBorder="1" applyAlignment="1" applyProtection="1">
      <alignment horizontal="left" vertical="top"/>
      <protection locked="0"/>
    </xf>
    <xf numFmtId="0" fontId="32" fillId="2" borderId="3" xfId="0" applyFont="1" applyFill="1" applyBorder="1" applyAlignment="1" applyProtection="1">
      <alignment horizontal="left" vertical="top"/>
      <protection locked="0"/>
    </xf>
    <xf numFmtId="0" fontId="32" fillId="2" borderId="0" xfId="0" applyFont="1" applyFill="1" applyAlignment="1" applyProtection="1">
      <alignment horizontal="left" vertical="top"/>
      <protection locked="0"/>
    </xf>
    <xf numFmtId="0" fontId="32" fillId="2" borderId="17" xfId="0" applyFont="1" applyFill="1" applyBorder="1" applyAlignment="1" applyProtection="1">
      <alignment horizontal="left" vertical="top"/>
      <protection locked="0"/>
    </xf>
    <xf numFmtId="0" fontId="32" fillId="2" borderId="9" xfId="0" applyFont="1" applyFill="1" applyBorder="1" applyAlignment="1" applyProtection="1">
      <alignment horizontal="left" vertical="top"/>
      <protection locked="0"/>
    </xf>
    <xf numFmtId="0" fontId="32" fillId="2" borderId="8" xfId="0" applyFont="1" applyFill="1" applyBorder="1" applyAlignment="1" applyProtection="1">
      <alignment horizontal="left" vertical="top"/>
      <protection locked="0"/>
    </xf>
    <xf numFmtId="0" fontId="32" fillId="2" borderId="21" xfId="0" applyFont="1" applyFill="1" applyBorder="1" applyAlignment="1" applyProtection="1">
      <alignment horizontal="left" vertical="top"/>
      <protection locked="0"/>
    </xf>
    <xf numFmtId="0" fontId="4" fillId="7" borderId="18" xfId="0" applyFont="1" applyFill="1" applyBorder="1" applyAlignment="1">
      <alignment horizontal="center" vertical="center"/>
    </xf>
    <xf numFmtId="43" fontId="7" fillId="0" borderId="0" xfId="1" applyFont="1" applyFill="1" applyBorder="1" applyAlignment="1" applyProtection="1">
      <alignment horizontal="center" vertical="center"/>
      <protection locked="0"/>
    </xf>
    <xf numFmtId="44" fontId="7" fillId="3" borderId="30" xfId="4" applyFont="1" applyFill="1" applyBorder="1" applyAlignment="1" applyProtection="1">
      <alignment horizontal="center" vertical="center"/>
      <protection locked="0"/>
    </xf>
    <xf numFmtId="44" fontId="7" fillId="3" borderId="31" xfId="4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32" xfId="0" applyFont="1" applyBorder="1" applyAlignment="1">
      <alignment horizontal="center" vertical="center"/>
    </xf>
  </cellXfs>
  <cellStyles count="7">
    <cellStyle name="Hiperlink" xfId="5" builtinId="8"/>
    <cellStyle name="Hiperlink 2" xfId="3" xr:uid="{00000000-0005-0000-0000-000000000000}"/>
    <cellStyle name="Moeda" xfId="4" builtinId="4"/>
    <cellStyle name="Normal" xfId="0" builtinId="0"/>
    <cellStyle name="Normal 2" xfId="2" xr:uid="{00000000-0005-0000-0000-000003000000}"/>
    <cellStyle name="Separador de milhares 2" xfId="6" xr:uid="{04F5CB68-0A49-41BB-9725-710F3141D9BD}"/>
    <cellStyle name="Vírgula" xfId="1" builtinId="3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33CC"/>
      <color rgb="FFD9D9D9"/>
      <color rgb="FFF2F2F2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activeX1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9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0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1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2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D5AF9DD1-4CBF-426E-B027-D5C7A5F5BE9D}" type="doc">
      <dgm:prSet loTypeId="urn:microsoft.com/office/officeart/2005/8/layout/chevron2" loCatId="list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pt-BR"/>
        </a:p>
      </dgm:t>
    </dgm:pt>
    <dgm:pt modelId="{5EB210A9-4202-4DE1-8C5E-04E5F3C6BDE2}">
      <dgm:prSet phldrT="[Texto]"/>
      <dgm:spPr>
        <a:solidFill>
          <a:srgbClr val="002060"/>
        </a:solidFill>
        <a:scene3d>
          <a:camera prst="orthographicFront"/>
          <a:lightRig rig="threePt" dir="t"/>
        </a:scene3d>
        <a:sp3d>
          <a:bevelT prst="angle"/>
        </a:sp3d>
      </dgm:spPr>
      <dgm:t>
        <a:bodyPr/>
        <a:lstStyle/>
        <a:p>
          <a:r>
            <a:rPr lang="pt-BR">
              <a:solidFill>
                <a:srgbClr val="222A35"/>
              </a:solidFill>
            </a:rPr>
            <a:t>.</a:t>
          </a:r>
        </a:p>
      </dgm:t>
    </dgm:pt>
    <dgm:pt modelId="{4BD32A3A-EBAF-473C-AB97-960BE645E06B}" type="parTrans" cxnId="{327524DD-49D3-4E39-ABD3-0618389F6D83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2FB2B52C-0139-4EAB-9909-A7AEF2969599}" type="sibTrans" cxnId="{327524DD-49D3-4E39-ABD3-0618389F6D83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33D559C9-7F0F-4D94-8640-E3EF9E863E99}">
      <dgm:prSet phldrT="[Texto]" custT="1"/>
      <dgm:spPr>
        <a:solidFill>
          <a:schemeClr val="bg1">
            <a:lumMod val="85000"/>
            <a:alpha val="90000"/>
          </a:schemeClr>
        </a:solidFill>
        <a:ln>
          <a:noFill/>
        </a:ln>
      </dgm:spPr>
      <dgm:t>
        <a:bodyPr/>
        <a:lstStyle/>
        <a:p>
          <a:r>
            <a:rPr lang="pt-BR" sz="1600" b="1" u="sng">
              <a:solidFill>
                <a:srgbClr val="222A35"/>
              </a:solidFill>
              <a:latin typeface="Arial" panose="020B0604020202020204" pitchFamily="34" charset="0"/>
              <a:cs typeface="Arial" panose="020B0604020202020204" pitchFamily="34" charset="0"/>
            </a:rPr>
            <a:t>Ordem de Compra - Hardware/Software/Licença</a:t>
          </a:r>
        </a:p>
      </dgm:t>
    </dgm:pt>
    <dgm:pt modelId="{4C5C1852-3C99-40DA-9B14-94551BC49514}" type="sibTrans" cxnId="{6902CD96-7366-417A-BE60-EB82517C8455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7F3DC75F-D817-48A3-92B3-158BE5B5FEF7}" type="parTrans" cxnId="{6902CD96-7366-417A-BE60-EB82517C8455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5D05C2FD-A665-4960-9C6B-4C929765DAA9}" type="pres">
      <dgm:prSet presAssocID="{D5AF9DD1-4CBF-426E-B027-D5C7A5F5BE9D}" presName="linearFlow" presStyleCnt="0">
        <dgm:presLayoutVars>
          <dgm:dir/>
          <dgm:animLvl val="lvl"/>
          <dgm:resizeHandles val="exact"/>
        </dgm:presLayoutVars>
      </dgm:prSet>
      <dgm:spPr/>
    </dgm:pt>
    <dgm:pt modelId="{C0EE79A1-A837-4094-889D-4B231F3ADF85}" type="pres">
      <dgm:prSet presAssocID="{5EB210A9-4202-4DE1-8C5E-04E5F3C6BDE2}" presName="composite" presStyleCnt="0"/>
      <dgm:spPr/>
    </dgm:pt>
    <dgm:pt modelId="{92C3B7D4-E624-4253-A842-9CD51FEF05CD}" type="pres">
      <dgm:prSet presAssocID="{5EB210A9-4202-4DE1-8C5E-04E5F3C6BDE2}" presName="parentText" presStyleLbl="alignNode1" presStyleIdx="0" presStyleCnt="1">
        <dgm:presLayoutVars>
          <dgm:chMax val="1"/>
          <dgm:bulletEnabled val="1"/>
        </dgm:presLayoutVars>
      </dgm:prSet>
      <dgm:spPr/>
    </dgm:pt>
    <dgm:pt modelId="{100627D8-FD60-40E5-9120-93842C754BFB}" type="pres">
      <dgm:prSet presAssocID="{5EB210A9-4202-4DE1-8C5E-04E5F3C6BDE2}" presName="descendantText" presStyleLbl="alignAcc1" presStyleIdx="0" presStyleCnt="1">
        <dgm:presLayoutVars>
          <dgm:bulletEnabled val="1"/>
        </dgm:presLayoutVars>
      </dgm:prSet>
      <dgm:spPr/>
    </dgm:pt>
  </dgm:ptLst>
  <dgm:cxnLst>
    <dgm:cxn modelId="{0C04691C-EDA8-4435-A912-267348E1EFDA}" type="presOf" srcId="{D5AF9DD1-4CBF-426E-B027-D5C7A5F5BE9D}" destId="{5D05C2FD-A665-4960-9C6B-4C929765DAA9}" srcOrd="0" destOrd="0" presId="urn:microsoft.com/office/officeart/2005/8/layout/chevron2"/>
    <dgm:cxn modelId="{6A0E2D3C-35F8-421F-BCC6-39B7AF6F682F}" type="presOf" srcId="{5EB210A9-4202-4DE1-8C5E-04E5F3C6BDE2}" destId="{92C3B7D4-E624-4253-A842-9CD51FEF05CD}" srcOrd="0" destOrd="0" presId="urn:microsoft.com/office/officeart/2005/8/layout/chevron2"/>
    <dgm:cxn modelId="{C546205C-5585-48F7-8E49-3AC67A77528B}" type="presOf" srcId="{33D559C9-7F0F-4D94-8640-E3EF9E863E99}" destId="{100627D8-FD60-40E5-9120-93842C754BFB}" srcOrd="0" destOrd="0" presId="urn:microsoft.com/office/officeart/2005/8/layout/chevron2"/>
    <dgm:cxn modelId="{6902CD96-7366-417A-BE60-EB82517C8455}" srcId="{5EB210A9-4202-4DE1-8C5E-04E5F3C6BDE2}" destId="{33D559C9-7F0F-4D94-8640-E3EF9E863E99}" srcOrd="0" destOrd="0" parTransId="{7F3DC75F-D817-48A3-92B3-158BE5B5FEF7}" sibTransId="{4C5C1852-3C99-40DA-9B14-94551BC49514}"/>
    <dgm:cxn modelId="{327524DD-49D3-4E39-ABD3-0618389F6D83}" srcId="{D5AF9DD1-4CBF-426E-B027-D5C7A5F5BE9D}" destId="{5EB210A9-4202-4DE1-8C5E-04E5F3C6BDE2}" srcOrd="0" destOrd="0" parTransId="{4BD32A3A-EBAF-473C-AB97-960BE645E06B}" sibTransId="{2FB2B52C-0139-4EAB-9909-A7AEF2969599}"/>
    <dgm:cxn modelId="{CA64A0C2-4123-447B-87AE-72BE13FEB604}" type="presParOf" srcId="{5D05C2FD-A665-4960-9C6B-4C929765DAA9}" destId="{C0EE79A1-A837-4094-889D-4B231F3ADF85}" srcOrd="0" destOrd="0" presId="urn:microsoft.com/office/officeart/2005/8/layout/chevron2"/>
    <dgm:cxn modelId="{F1F3CB71-0BFB-47C0-9A1D-498AA02F8DE0}" type="presParOf" srcId="{C0EE79A1-A837-4094-889D-4B231F3ADF85}" destId="{92C3B7D4-E624-4253-A842-9CD51FEF05CD}" srcOrd="0" destOrd="0" presId="urn:microsoft.com/office/officeart/2005/8/layout/chevron2"/>
    <dgm:cxn modelId="{334EDC29-C5E8-4235-8E95-06F806996E55}" type="presParOf" srcId="{C0EE79A1-A837-4094-889D-4B231F3ADF85}" destId="{100627D8-FD60-40E5-9120-93842C754BFB}" srcOrd="1" destOrd="0" presId="urn:microsoft.com/office/officeart/2005/8/layout/chevron2"/>
  </dgm:cxnLst>
  <dgm:bg>
    <a:noFill/>
  </dgm:bg>
  <dgm:whole>
    <a:ln>
      <a:noFill/>
    </a:ln>
  </dgm:whole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92C3B7D4-E624-4253-A842-9CD51FEF05CD}">
      <dsp:nvSpPr>
        <dsp:cNvPr id="0" name=""/>
        <dsp:cNvSpPr/>
      </dsp:nvSpPr>
      <dsp:spPr>
        <a:xfrm rot="5400000">
          <a:off x="-63116" y="63116"/>
          <a:ext cx="420779" cy="294545"/>
        </a:xfrm>
        <a:prstGeom prst="chevron">
          <a:avLst/>
        </a:prstGeom>
        <a:solidFill>
          <a:srgbClr val="002060"/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prst="angle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5080" tIns="5080" rIns="5080" bIns="5080" numCol="1" spcCol="1270" anchor="ctr" anchorCtr="0">
          <a:noAutofit/>
        </a:bodyPr>
        <a:lstStyle/>
        <a:p>
          <a:pPr marL="0" lvl="0" indent="0" algn="ctr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pt-BR" sz="800" kern="1200">
              <a:solidFill>
                <a:srgbClr val="222A35"/>
              </a:solidFill>
            </a:rPr>
            <a:t>.</a:t>
          </a:r>
        </a:p>
      </dsp:txBody>
      <dsp:txXfrm rot="-5400000">
        <a:off x="2" y="147272"/>
        <a:ext cx="294545" cy="126234"/>
      </dsp:txXfrm>
    </dsp:sp>
    <dsp:sp modelId="{100627D8-FD60-40E5-9120-93842C754BFB}">
      <dsp:nvSpPr>
        <dsp:cNvPr id="0" name=""/>
        <dsp:cNvSpPr/>
      </dsp:nvSpPr>
      <dsp:spPr>
        <a:xfrm rot="5400000">
          <a:off x="2642781" y="-2348236"/>
          <a:ext cx="273506" cy="4969978"/>
        </a:xfrm>
        <a:prstGeom prst="round2SameRect">
          <a:avLst/>
        </a:prstGeom>
        <a:solidFill>
          <a:schemeClr val="bg1">
            <a:lumMod val="85000"/>
            <a:alpha val="90000"/>
          </a:schemeClr>
        </a:solidFill>
        <a:ln w="12700" cap="flat" cmpd="sng" algn="ctr">
          <a:noFill/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13792" tIns="10160" rIns="10160" bIns="10160" numCol="1" spcCol="1270" anchor="ctr" anchorCtr="0">
          <a:noAutofit/>
        </a:bodyPr>
        <a:lstStyle/>
        <a:p>
          <a:pPr marL="171450" lvl="1" indent="-171450" algn="l" defTabSz="7112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pt-BR" sz="1600" b="1" u="sng" kern="1200">
              <a:solidFill>
                <a:srgbClr val="222A35"/>
              </a:solidFill>
              <a:latin typeface="Arial" panose="020B0604020202020204" pitchFamily="34" charset="0"/>
              <a:cs typeface="Arial" panose="020B0604020202020204" pitchFamily="34" charset="0"/>
            </a:rPr>
            <a:t>Ordem de Compra - Hardware/Software/Licença</a:t>
          </a:r>
        </a:p>
      </dsp:txBody>
      <dsp:txXfrm rot="-5400000">
        <a:off x="294546" y="13350"/>
        <a:ext cx="4956627" cy="24680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chevron2">
  <dgm:title val=""/>
  <dgm:desc val=""/>
  <dgm:catLst>
    <dgm:cat type="process" pri="12000"/>
    <dgm:cat type="list" pri="16000"/>
    <dgm:cat type="convert" pri="1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</dgm:ptLst>
      <dgm:cxnLst>
        <dgm:cxn modelId="4" srcId="0" destId="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linearFlow">
    <dgm:varLst>
      <dgm:dir/>
      <dgm:animLvl val="lvl"/>
      <dgm:resizeHandles val="exact"/>
    </dgm:varLst>
    <dgm:alg type="lin">
      <dgm:param type="linDir" val="fromT"/>
      <dgm:param type="nodeHorzAlign" val="l"/>
    </dgm:alg>
    <dgm:shape xmlns:r="http://schemas.openxmlformats.org/officeDocument/2006/relationships" r:blip="">
      <dgm:adjLst/>
    </dgm:shape>
    <dgm:presOf/>
    <dgm:constrLst>
      <dgm:constr type="h" for="ch" forName="composite" refType="h"/>
      <dgm:constr type="w" for="ch" forName="composite" refType="w"/>
      <dgm:constr type="h" for="des" forName="parentText" op="equ"/>
      <dgm:constr type="h" for="ch" forName="sp" val="-14.88"/>
      <dgm:constr type="h" for="ch" forName="sp" refType="w" refFor="des" refForName="parentText" op="gte" fact="-0.3"/>
      <dgm:constr type="primFontSz" for="des" forName="parentText" op="equ" val="65"/>
      <dgm:constr type="primFontSz" for="des" forName="descendantText" op="equ" val="65"/>
    </dgm:constrLst>
    <dgm:ruleLst/>
    <dgm:forEach name="Name0" axis="ch" ptType="node">
      <dgm:layoutNode name="composite">
        <dgm:alg type="composite"/>
        <dgm:shape xmlns:r="http://schemas.openxmlformats.org/officeDocument/2006/relationships" r:blip="">
          <dgm:adjLst/>
        </dgm:shape>
        <dgm:presOf/>
        <dgm:choose name="Name1">
          <dgm:if name="Name2" func="var" arg="dir" op="equ" val="norm">
            <dgm:constrLst>
              <dgm:constr type="t" for="ch" forName="parentText"/>
              <dgm:constr type="l" for="ch" forName="parentText"/>
              <dgm:constr type="w" for="ch" forName="parentText" refType="w" fact="0.4"/>
              <dgm:constr type="h" for="ch" forName="parentText" refType="h"/>
              <dgm:constr type="w" for="ch" forName="parentText" refType="w" op="lte" fact="0.5"/>
              <dgm:constr type="w" for="ch" forName="parentText" refType="h" refFor="ch" refForName="parentText" op="lte" fact="0.7"/>
              <dgm:constr type="h" for="ch" forName="parentText" refType="w" refFor="ch" refForName="parentText" op="lte" fact="3"/>
              <dgm:constr type="l" for="ch" forName="descendantText" refType="w" refFor="ch" refForName="parentText"/>
              <dgm:constr type="w" for="ch" forName="descendantText" refType="w"/>
              <dgm:constr type="wOff" for="ch" forName="descendantText" refType="w" refFor="ch" refForName="parentText" fact="-1"/>
              <dgm:constr type="t" for="ch" forName="descendantText"/>
              <dgm:constr type="b" for="ch" forName="descendantText" refType="h" refFor="ch" refForName="parentText"/>
              <dgm:constr type="bOff" for="ch" forName="descendantText" refType="w" refFor="ch" refForName="parentText" fact="-0.5"/>
            </dgm:constrLst>
          </dgm:if>
          <dgm:else name="Name3">
            <dgm:constrLst>
              <dgm:constr type="t" for="ch" forName="parentText"/>
              <dgm:constr type="r" for="ch" forName="parentText" refType="w"/>
              <dgm:constr type="w" for="ch" forName="parentText" refType="w" fact="0.4"/>
              <dgm:constr type="h" for="ch" forName="parentText" refType="h"/>
              <dgm:constr type="w" for="ch" forName="parentText" refType="w" op="lte" fact="0.5"/>
              <dgm:constr type="w" for="ch" forName="parentText" refType="h" refFor="ch" refForName="parentText" op="lte" fact="0.7"/>
              <dgm:constr type="h" for="ch" forName="parentText" refType="w" refFor="ch" refForName="parentText" op="lte" fact="3"/>
              <dgm:constr type="l" for="ch" forName="descendantText"/>
              <dgm:constr type="w" for="ch" forName="descendantText" refType="w"/>
              <dgm:constr type="wOff" for="ch" forName="descendantText" refType="w" refFor="ch" refForName="parentText" fact="-1"/>
              <dgm:constr type="t" for="ch" forName="descendantText"/>
              <dgm:constr type="b" for="ch" forName="descendantText" refType="h" refFor="ch" refForName="parentText"/>
              <dgm:constr type="bOff" for="ch" forName="descendantText" refType="w" refFor="ch" refForName="parentText" fact="-0.5"/>
            </dgm:constrLst>
          </dgm:else>
        </dgm:choose>
        <dgm:ruleLst/>
        <dgm:layoutNode name="parentText" styleLbl="alignNode1">
          <dgm:varLst>
            <dgm:chMax val="1"/>
            <dgm:bulletEnabled val="1"/>
          </dgm:varLst>
          <dgm:alg type="tx"/>
          <dgm:shape xmlns:r="http://schemas.openxmlformats.org/officeDocument/2006/relationships" rot="90" type="chevron" r:blip="">
            <dgm:adjLst/>
          </dgm:shape>
          <dgm:presOf axis="self" ptType="node"/>
          <dgm:constrLst>
            <dgm:constr type="lMarg" refType="primFontSz" fact="0.05"/>
            <dgm:constr type="rMarg" refType="primFontSz" fact="0.05"/>
            <dgm:constr type="tMarg" refType="primFontSz" fact="0.05"/>
            <dgm:constr type="bMarg" refType="primFontSz" fact="0.05"/>
          </dgm:constrLst>
          <dgm:ruleLst>
            <dgm:rule type="h" val="100" fact="NaN" max="NaN"/>
            <dgm:rule type="primFontSz" val="24" fact="NaN" max="NaN"/>
            <dgm:rule type="h" val="110" fact="NaN" max="NaN"/>
            <dgm:rule type="primFontSz" val="18" fact="NaN" max="NaN"/>
            <dgm:rule type="h" val="INF" fact="NaN" max="NaN"/>
            <dgm:rule type="primFontSz" val="5" fact="NaN" max="NaN"/>
          </dgm:ruleLst>
        </dgm:layoutNode>
        <dgm:layoutNode name="descendantText" styleLbl="alignAcc1">
          <dgm:varLst>
            <dgm:bulletEnabled val="1"/>
          </dgm:varLst>
          <dgm:choose name="Name4">
            <dgm:if name="Name5" func="var" arg="dir" op="equ" val="norm">
              <dgm:alg type="tx">
                <dgm:param type="stBulletLvl" val="1"/>
                <dgm:param type="txAnchorVertCh" val="mid"/>
              </dgm:alg>
              <dgm:shape xmlns:r="http://schemas.openxmlformats.org/officeDocument/2006/relationships" rot="90" type="round2SameRect" r:blip="">
                <dgm:adjLst/>
              </dgm:shape>
            </dgm:if>
            <dgm:else name="Name6">
              <dgm:alg type="tx">
                <dgm:param type="stBulletLvl" val="1"/>
                <dgm:param type="txAnchorVertCh" val="mid"/>
              </dgm:alg>
              <dgm:shape xmlns:r="http://schemas.openxmlformats.org/officeDocument/2006/relationships" rot="-90" type="round2SameRect" r:blip="">
                <dgm:adjLst/>
              </dgm:shape>
            </dgm:else>
          </dgm:choose>
          <dgm:presOf axis="des" ptType="node"/>
          <dgm:choose name="Name7">
            <dgm:if name="Name8" func="var" arg="dir" op="equ" val="norm">
              <dgm:constrLst>
                <dgm:constr type="secFontSz" refType="primFontSz"/>
                <dgm:constr type="tMarg" refType="primFontSz" fact="0.05"/>
                <dgm:constr type="bMarg" refType="primFontSz" fact="0.05"/>
                <dgm:constr type="rMarg" refType="primFontSz" fact="0.05"/>
              </dgm:constrLst>
            </dgm:if>
            <dgm:else name="Name9">
              <dgm:constrLst>
                <dgm:constr type="secFontSz" refType="primFontSz"/>
                <dgm:constr type="tMarg" refType="primFontSz" fact="0.05"/>
                <dgm:constr type="bMarg" refType="primFontSz" fact="0.05"/>
                <dgm:constr type="lMarg" refType="primFontSz" fact="0.05"/>
              </dgm:constrLst>
            </dgm:else>
          </dgm:choose>
          <dgm:ruleLst>
            <dgm:rule type="primFontSz" val="5" fact="NaN" max="NaN"/>
          </dgm:ruleLst>
        </dgm:layoutNode>
      </dgm:layoutNode>
      <dgm:forEach name="Name10" axis="followSib" ptType="sibTrans" cnt="1">
        <dgm:layoutNode name="sp">
          <dgm:alg type="sp"/>
          <dgm:shape xmlns:r="http://schemas.openxmlformats.org/officeDocument/2006/relationships" r:blip="">
            <dgm:adjLst/>
          </dgm:shape>
          <dgm:presOf axis="self"/>
          <dgm:constrLst>
            <dgm:constr type="w" val="1"/>
            <dgm:constr type="h" val="37.5"/>
          </dgm:constrLst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6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28575</xdr:colOff>
          <xdr:row>8</xdr:row>
          <xdr:rowOff>9525</xdr:rowOff>
        </xdr:from>
        <xdr:to>
          <xdr:col>5</xdr:col>
          <xdr:colOff>9525</xdr:colOff>
          <xdr:row>9</xdr:row>
          <xdr:rowOff>0</xdr:rowOff>
        </xdr:to>
        <xdr:sp macro="" textlink="">
          <xdr:nvSpPr>
            <xdr:cNvPr id="4097" name="ComboBox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</xdr:col>
      <xdr:colOff>1479176</xdr:colOff>
      <xdr:row>3</xdr:row>
      <xdr:rowOff>156882</xdr:rowOff>
    </xdr:from>
    <xdr:to>
      <xdr:col>5</xdr:col>
      <xdr:colOff>590550</xdr:colOff>
      <xdr:row>6</xdr:row>
      <xdr:rowOff>15686</xdr:rowOff>
    </xdr:to>
    <xdr:graphicFrame macro="">
      <xdr:nvGraphicFramePr>
        <xdr:cNvPr id="10" name="Diagram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28575</xdr:colOff>
          <xdr:row>8</xdr:row>
          <xdr:rowOff>9525</xdr:rowOff>
        </xdr:from>
        <xdr:to>
          <xdr:col>11</xdr:col>
          <xdr:colOff>1000125</xdr:colOff>
          <xdr:row>9</xdr:row>
          <xdr:rowOff>0</xdr:rowOff>
        </xdr:to>
        <xdr:sp macro="" textlink="">
          <xdr:nvSpPr>
            <xdr:cNvPr id="4123" name="ComboBox2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0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28</xdr:row>
          <xdr:rowOff>361950</xdr:rowOff>
        </xdr:from>
        <xdr:to>
          <xdr:col>1</xdr:col>
          <xdr:colOff>1724025</xdr:colOff>
          <xdr:row>29</xdr:row>
          <xdr:rowOff>209550</xdr:rowOff>
        </xdr:to>
        <xdr:sp macro="" textlink="">
          <xdr:nvSpPr>
            <xdr:cNvPr id="4294" name="ComboBox3" hidden="1">
              <a:extLst>
                <a:ext uri="{63B3BB69-23CF-44E3-9099-C40C66FF867C}">
                  <a14:compatExt spid="_x0000_s4294"/>
                </a:ext>
                <a:ext uri="{FF2B5EF4-FFF2-40B4-BE49-F238E27FC236}">
                  <a16:creationId xmlns:a16="http://schemas.microsoft.com/office/drawing/2014/main" id="{00000000-0008-0000-0000-0000C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29</xdr:row>
          <xdr:rowOff>209550</xdr:rowOff>
        </xdr:from>
        <xdr:to>
          <xdr:col>1</xdr:col>
          <xdr:colOff>1724025</xdr:colOff>
          <xdr:row>31</xdr:row>
          <xdr:rowOff>0</xdr:rowOff>
        </xdr:to>
        <xdr:sp macro="" textlink="">
          <xdr:nvSpPr>
            <xdr:cNvPr id="4297" name="ComboBox4" hidden="1">
              <a:extLst>
                <a:ext uri="{63B3BB69-23CF-44E3-9099-C40C66FF867C}">
                  <a14:compatExt spid="_x0000_s4297"/>
                </a:ext>
                <a:ext uri="{FF2B5EF4-FFF2-40B4-BE49-F238E27FC236}">
                  <a16:creationId xmlns:a16="http://schemas.microsoft.com/office/drawing/2014/main" id="{00000000-0008-0000-0000-0000C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31</xdr:row>
          <xdr:rowOff>0</xdr:rowOff>
        </xdr:from>
        <xdr:to>
          <xdr:col>1</xdr:col>
          <xdr:colOff>1724025</xdr:colOff>
          <xdr:row>32</xdr:row>
          <xdr:rowOff>9525</xdr:rowOff>
        </xdr:to>
        <xdr:sp macro="" textlink="">
          <xdr:nvSpPr>
            <xdr:cNvPr id="4298" name="ComboBox5" hidden="1">
              <a:extLst>
                <a:ext uri="{63B3BB69-23CF-44E3-9099-C40C66FF867C}">
                  <a14:compatExt spid="_x0000_s4298"/>
                </a:ext>
                <a:ext uri="{FF2B5EF4-FFF2-40B4-BE49-F238E27FC236}">
                  <a16:creationId xmlns:a16="http://schemas.microsoft.com/office/drawing/2014/main" id="{00000000-0008-0000-0000-0000C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32</xdr:row>
          <xdr:rowOff>0</xdr:rowOff>
        </xdr:from>
        <xdr:to>
          <xdr:col>1</xdr:col>
          <xdr:colOff>1724025</xdr:colOff>
          <xdr:row>33</xdr:row>
          <xdr:rowOff>9525</xdr:rowOff>
        </xdr:to>
        <xdr:sp macro="" textlink="">
          <xdr:nvSpPr>
            <xdr:cNvPr id="4299" name="ComboBox6" hidden="1">
              <a:extLst>
                <a:ext uri="{63B3BB69-23CF-44E3-9099-C40C66FF867C}">
                  <a14:compatExt spid="_x0000_s4299"/>
                </a:ext>
                <a:ext uri="{FF2B5EF4-FFF2-40B4-BE49-F238E27FC236}">
                  <a16:creationId xmlns:a16="http://schemas.microsoft.com/office/drawing/2014/main" id="{00000000-0008-0000-0000-0000C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33</xdr:row>
          <xdr:rowOff>0</xdr:rowOff>
        </xdr:from>
        <xdr:to>
          <xdr:col>1</xdr:col>
          <xdr:colOff>1724025</xdr:colOff>
          <xdr:row>34</xdr:row>
          <xdr:rowOff>9525</xdr:rowOff>
        </xdr:to>
        <xdr:sp macro="" textlink="">
          <xdr:nvSpPr>
            <xdr:cNvPr id="4300" name="ComboBox7" hidden="1">
              <a:extLst>
                <a:ext uri="{63B3BB69-23CF-44E3-9099-C40C66FF867C}">
                  <a14:compatExt spid="_x0000_s4300"/>
                </a:ext>
                <a:ext uri="{FF2B5EF4-FFF2-40B4-BE49-F238E27FC236}">
                  <a16:creationId xmlns:a16="http://schemas.microsoft.com/office/drawing/2014/main" id="{00000000-0008-0000-0000-0000C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34</xdr:row>
          <xdr:rowOff>0</xdr:rowOff>
        </xdr:from>
        <xdr:to>
          <xdr:col>1</xdr:col>
          <xdr:colOff>1724025</xdr:colOff>
          <xdr:row>35</xdr:row>
          <xdr:rowOff>9525</xdr:rowOff>
        </xdr:to>
        <xdr:sp macro="" textlink="">
          <xdr:nvSpPr>
            <xdr:cNvPr id="4301" name="ComboBox8" hidden="1">
              <a:extLst>
                <a:ext uri="{63B3BB69-23CF-44E3-9099-C40C66FF867C}">
                  <a14:compatExt spid="_x0000_s4301"/>
                </a:ext>
                <a:ext uri="{FF2B5EF4-FFF2-40B4-BE49-F238E27FC236}">
                  <a16:creationId xmlns:a16="http://schemas.microsoft.com/office/drawing/2014/main" id="{00000000-0008-0000-0000-0000C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35</xdr:row>
          <xdr:rowOff>0</xdr:rowOff>
        </xdr:from>
        <xdr:to>
          <xdr:col>1</xdr:col>
          <xdr:colOff>1724025</xdr:colOff>
          <xdr:row>36</xdr:row>
          <xdr:rowOff>9525</xdr:rowOff>
        </xdr:to>
        <xdr:sp macro="" textlink="">
          <xdr:nvSpPr>
            <xdr:cNvPr id="4302" name="ComboBox9" hidden="1">
              <a:extLst>
                <a:ext uri="{63B3BB69-23CF-44E3-9099-C40C66FF867C}">
                  <a14:compatExt spid="_x0000_s4302"/>
                </a:ext>
                <a:ext uri="{FF2B5EF4-FFF2-40B4-BE49-F238E27FC236}">
                  <a16:creationId xmlns:a16="http://schemas.microsoft.com/office/drawing/2014/main" id="{00000000-0008-0000-0000-0000C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36</xdr:row>
          <xdr:rowOff>0</xdr:rowOff>
        </xdr:from>
        <xdr:to>
          <xdr:col>1</xdr:col>
          <xdr:colOff>1724025</xdr:colOff>
          <xdr:row>37</xdr:row>
          <xdr:rowOff>9525</xdr:rowOff>
        </xdr:to>
        <xdr:sp macro="" textlink="">
          <xdr:nvSpPr>
            <xdr:cNvPr id="4303" name="ComboBox10" hidden="1">
              <a:extLst>
                <a:ext uri="{63B3BB69-23CF-44E3-9099-C40C66FF867C}">
                  <a14:compatExt spid="_x0000_s4303"/>
                </a:ext>
                <a:ext uri="{FF2B5EF4-FFF2-40B4-BE49-F238E27FC236}">
                  <a16:creationId xmlns:a16="http://schemas.microsoft.com/office/drawing/2014/main" id="{00000000-0008-0000-0000-0000C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37</xdr:row>
          <xdr:rowOff>0</xdr:rowOff>
        </xdr:from>
        <xdr:to>
          <xdr:col>1</xdr:col>
          <xdr:colOff>1724025</xdr:colOff>
          <xdr:row>38</xdr:row>
          <xdr:rowOff>9525</xdr:rowOff>
        </xdr:to>
        <xdr:sp macro="" textlink="">
          <xdr:nvSpPr>
            <xdr:cNvPr id="4304" name="ComboBox11" hidden="1">
              <a:extLst>
                <a:ext uri="{63B3BB69-23CF-44E3-9099-C40C66FF867C}">
                  <a14:compatExt spid="_x0000_s4304"/>
                </a:ext>
                <a:ext uri="{FF2B5EF4-FFF2-40B4-BE49-F238E27FC236}">
                  <a16:creationId xmlns:a16="http://schemas.microsoft.com/office/drawing/2014/main" id="{00000000-0008-0000-0000-0000D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38</xdr:row>
          <xdr:rowOff>0</xdr:rowOff>
        </xdr:from>
        <xdr:to>
          <xdr:col>1</xdr:col>
          <xdr:colOff>1724025</xdr:colOff>
          <xdr:row>39</xdr:row>
          <xdr:rowOff>9525</xdr:rowOff>
        </xdr:to>
        <xdr:sp macro="" textlink="">
          <xdr:nvSpPr>
            <xdr:cNvPr id="4305" name="ComboBox12" hidden="1">
              <a:extLst>
                <a:ext uri="{63B3BB69-23CF-44E3-9099-C40C66FF867C}">
                  <a14:compatExt spid="_x0000_s4305"/>
                </a:ext>
                <a:ext uri="{FF2B5EF4-FFF2-40B4-BE49-F238E27FC236}">
                  <a16:creationId xmlns:a16="http://schemas.microsoft.com/office/drawing/2014/main" id="{00000000-0008-0000-0000-0000D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39</xdr:row>
          <xdr:rowOff>0</xdr:rowOff>
        </xdr:from>
        <xdr:to>
          <xdr:col>1</xdr:col>
          <xdr:colOff>1724025</xdr:colOff>
          <xdr:row>40</xdr:row>
          <xdr:rowOff>9525</xdr:rowOff>
        </xdr:to>
        <xdr:sp macro="" textlink="">
          <xdr:nvSpPr>
            <xdr:cNvPr id="4306" name="ComboBox13" hidden="1">
              <a:extLst>
                <a:ext uri="{63B3BB69-23CF-44E3-9099-C40C66FF867C}">
                  <a14:compatExt spid="_x0000_s4306"/>
                </a:ext>
                <a:ext uri="{FF2B5EF4-FFF2-40B4-BE49-F238E27FC236}">
                  <a16:creationId xmlns:a16="http://schemas.microsoft.com/office/drawing/2014/main" id="{00000000-0008-0000-0000-0000D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40</xdr:row>
          <xdr:rowOff>0</xdr:rowOff>
        </xdr:from>
        <xdr:to>
          <xdr:col>1</xdr:col>
          <xdr:colOff>1724025</xdr:colOff>
          <xdr:row>41</xdr:row>
          <xdr:rowOff>9525</xdr:rowOff>
        </xdr:to>
        <xdr:sp macro="" textlink="">
          <xdr:nvSpPr>
            <xdr:cNvPr id="4307" name="ComboBox14" hidden="1">
              <a:extLst>
                <a:ext uri="{63B3BB69-23CF-44E3-9099-C40C66FF867C}">
                  <a14:compatExt spid="_x0000_s4307"/>
                </a:ext>
                <a:ext uri="{FF2B5EF4-FFF2-40B4-BE49-F238E27FC236}">
                  <a16:creationId xmlns:a16="http://schemas.microsoft.com/office/drawing/2014/main" id="{00000000-0008-0000-0000-0000D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41</xdr:row>
          <xdr:rowOff>0</xdr:rowOff>
        </xdr:from>
        <xdr:to>
          <xdr:col>1</xdr:col>
          <xdr:colOff>1724025</xdr:colOff>
          <xdr:row>42</xdr:row>
          <xdr:rowOff>9525</xdr:rowOff>
        </xdr:to>
        <xdr:sp macro="" textlink="">
          <xdr:nvSpPr>
            <xdr:cNvPr id="4308" name="ComboBox15" hidden="1">
              <a:extLst>
                <a:ext uri="{63B3BB69-23CF-44E3-9099-C40C66FF867C}">
                  <a14:compatExt spid="_x0000_s4308"/>
                </a:ext>
                <a:ext uri="{FF2B5EF4-FFF2-40B4-BE49-F238E27FC236}">
                  <a16:creationId xmlns:a16="http://schemas.microsoft.com/office/drawing/2014/main" id="{00000000-0008-0000-0000-0000D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42</xdr:row>
          <xdr:rowOff>0</xdr:rowOff>
        </xdr:from>
        <xdr:to>
          <xdr:col>1</xdr:col>
          <xdr:colOff>1724025</xdr:colOff>
          <xdr:row>43</xdr:row>
          <xdr:rowOff>9525</xdr:rowOff>
        </xdr:to>
        <xdr:sp macro="" textlink="">
          <xdr:nvSpPr>
            <xdr:cNvPr id="4309" name="ComboBox16" hidden="1">
              <a:extLst>
                <a:ext uri="{63B3BB69-23CF-44E3-9099-C40C66FF867C}">
                  <a14:compatExt spid="_x0000_s4309"/>
                </a:ext>
                <a:ext uri="{FF2B5EF4-FFF2-40B4-BE49-F238E27FC236}">
                  <a16:creationId xmlns:a16="http://schemas.microsoft.com/office/drawing/2014/main" id="{00000000-0008-0000-0000-0000D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43</xdr:row>
          <xdr:rowOff>0</xdr:rowOff>
        </xdr:from>
        <xdr:to>
          <xdr:col>1</xdr:col>
          <xdr:colOff>1724025</xdr:colOff>
          <xdr:row>44</xdr:row>
          <xdr:rowOff>9525</xdr:rowOff>
        </xdr:to>
        <xdr:sp macro="" textlink="">
          <xdr:nvSpPr>
            <xdr:cNvPr id="4310" name="ComboBox17" hidden="1">
              <a:extLst>
                <a:ext uri="{63B3BB69-23CF-44E3-9099-C40C66FF867C}">
                  <a14:compatExt spid="_x0000_s4310"/>
                </a:ext>
                <a:ext uri="{FF2B5EF4-FFF2-40B4-BE49-F238E27FC236}">
                  <a16:creationId xmlns:a16="http://schemas.microsoft.com/office/drawing/2014/main" id="{00000000-0008-0000-0000-0000D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44</xdr:row>
          <xdr:rowOff>0</xdr:rowOff>
        </xdr:from>
        <xdr:to>
          <xdr:col>1</xdr:col>
          <xdr:colOff>1724025</xdr:colOff>
          <xdr:row>45</xdr:row>
          <xdr:rowOff>9525</xdr:rowOff>
        </xdr:to>
        <xdr:sp macro="" textlink="">
          <xdr:nvSpPr>
            <xdr:cNvPr id="4311" name="ComboBox18" hidden="1">
              <a:extLst>
                <a:ext uri="{63B3BB69-23CF-44E3-9099-C40C66FF867C}">
                  <a14:compatExt spid="_x0000_s4311"/>
                </a:ext>
                <a:ext uri="{FF2B5EF4-FFF2-40B4-BE49-F238E27FC236}">
                  <a16:creationId xmlns:a16="http://schemas.microsoft.com/office/drawing/2014/main" id="{00000000-0008-0000-0000-0000D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45</xdr:row>
          <xdr:rowOff>0</xdr:rowOff>
        </xdr:from>
        <xdr:to>
          <xdr:col>1</xdr:col>
          <xdr:colOff>1724025</xdr:colOff>
          <xdr:row>46</xdr:row>
          <xdr:rowOff>9525</xdr:rowOff>
        </xdr:to>
        <xdr:sp macro="" textlink="">
          <xdr:nvSpPr>
            <xdr:cNvPr id="4312" name="ComboBox19" hidden="1">
              <a:extLst>
                <a:ext uri="{63B3BB69-23CF-44E3-9099-C40C66FF867C}">
                  <a14:compatExt spid="_x0000_s4312"/>
                </a:ext>
                <a:ext uri="{FF2B5EF4-FFF2-40B4-BE49-F238E27FC236}">
                  <a16:creationId xmlns:a16="http://schemas.microsoft.com/office/drawing/2014/main" id="{00000000-0008-0000-0000-0000D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46</xdr:row>
          <xdr:rowOff>0</xdr:rowOff>
        </xdr:from>
        <xdr:to>
          <xdr:col>1</xdr:col>
          <xdr:colOff>1724025</xdr:colOff>
          <xdr:row>47</xdr:row>
          <xdr:rowOff>9525</xdr:rowOff>
        </xdr:to>
        <xdr:sp macro="" textlink="">
          <xdr:nvSpPr>
            <xdr:cNvPr id="4313" name="ComboBox20" hidden="1">
              <a:extLst>
                <a:ext uri="{63B3BB69-23CF-44E3-9099-C40C66FF867C}">
                  <a14:compatExt spid="_x0000_s4313"/>
                </a:ext>
                <a:ext uri="{FF2B5EF4-FFF2-40B4-BE49-F238E27FC236}">
                  <a16:creationId xmlns:a16="http://schemas.microsoft.com/office/drawing/2014/main" id="{00000000-0008-0000-0000-0000D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47</xdr:row>
          <xdr:rowOff>0</xdr:rowOff>
        </xdr:from>
        <xdr:to>
          <xdr:col>1</xdr:col>
          <xdr:colOff>1724025</xdr:colOff>
          <xdr:row>48</xdr:row>
          <xdr:rowOff>9525</xdr:rowOff>
        </xdr:to>
        <xdr:sp macro="" textlink="">
          <xdr:nvSpPr>
            <xdr:cNvPr id="4314" name="ComboBox21" hidden="1">
              <a:extLst>
                <a:ext uri="{63B3BB69-23CF-44E3-9099-C40C66FF867C}">
                  <a14:compatExt spid="_x0000_s4314"/>
                </a:ext>
                <a:ext uri="{FF2B5EF4-FFF2-40B4-BE49-F238E27FC236}">
                  <a16:creationId xmlns:a16="http://schemas.microsoft.com/office/drawing/2014/main" id="{00000000-0008-0000-0000-0000D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48</xdr:row>
          <xdr:rowOff>0</xdr:rowOff>
        </xdr:from>
        <xdr:to>
          <xdr:col>1</xdr:col>
          <xdr:colOff>1724025</xdr:colOff>
          <xdr:row>49</xdr:row>
          <xdr:rowOff>9525</xdr:rowOff>
        </xdr:to>
        <xdr:sp macro="" textlink="">
          <xdr:nvSpPr>
            <xdr:cNvPr id="4315" name="ComboBox22" hidden="1">
              <a:extLst>
                <a:ext uri="{63B3BB69-23CF-44E3-9099-C40C66FF867C}">
                  <a14:compatExt spid="_x0000_s4315"/>
                </a:ext>
                <a:ext uri="{FF2B5EF4-FFF2-40B4-BE49-F238E27FC236}">
                  <a16:creationId xmlns:a16="http://schemas.microsoft.com/office/drawing/2014/main" id="{00000000-0008-0000-0000-0000D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1038224</xdr:colOff>
      <xdr:row>0</xdr:row>
      <xdr:rowOff>0</xdr:rowOff>
    </xdr:from>
    <xdr:to>
      <xdr:col>4</xdr:col>
      <xdr:colOff>1476375</xdr:colOff>
      <xdr:row>4</xdr:row>
      <xdr:rowOff>19050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131AE6F-35AA-D9E0-8403-CA23395D9E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729" b="22963"/>
        <a:stretch/>
      </xdr:blipFill>
      <xdr:spPr bwMode="auto">
        <a:xfrm>
          <a:off x="4200524" y="0"/>
          <a:ext cx="2571751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teratelltelecom-my.sharepoint.com/personal/mmota_interatell_com_br/Documents/&#193;rea%20de%20Trabalho/OC%2026-07-2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M DE COMPRA"/>
      <sheetName val="CONTRATO"/>
      <sheetName val="SERVIÇO"/>
    </sheet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FB2DA4DC-C9DF-4486-9D07-431510058E0B}" autoFormatId="16" applyNumberFormats="0" applyBorderFormats="0" applyFontFormats="0" applyPatternFormats="0" applyAlignmentFormats="0" applyWidthHeightFormats="0">
  <queryTableRefresh nextId="13">
    <queryTableFields count="12">
      <queryTableField id="1" name="PART NUMBER - Coluna 1" tableColumnId="1"/>
      <queryTableField id="2" name="DESCRIÇÃO - Coluna 2" tableColumnId="2"/>
      <queryTableField id="3" name="LOCAL DO ESTOQUE - Coluna 3" tableColumnId="3"/>
      <queryTableField id="4" name="CFOP - Coluna 4" tableColumnId="4"/>
      <queryTableField id="5" name="NATUREZA - Coluna 5" tableColumnId="5"/>
      <queryTableField id="6" name="FAMÍLIA - Coluna 6" tableColumnId="6"/>
      <queryTableField id="7" name="NCM - Coluna 7" tableColumnId="7"/>
      <queryTableField id="8" name="ATÉ            15 " tableColumnId="8"/>
      <queryTableField id="9" name="ATÉ            120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refreshOnLoad="1" connectionId="1" xr16:uid="{FF8C4C6A-5482-4A6D-9183-76052EB7F045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7D1BF4-D53B-40A1-A380-6AF02994E8E6}" name="Produtos__2" displayName="Produtos__2" ref="A1:L1048528" tableType="queryTable" totalsRowShown="0">
  <autoFilter ref="A1:L1048528" xr:uid="{D87D1BF4-D53B-40A1-A380-6AF02994E8E6}">
    <filterColumn colId="1">
      <filters>
        <filter val="Fone blindado modelo bd306-1"/>
        <filter val="Fone blindado para modelo - TC320-1"/>
        <filter val="Fone ouv Poly VOY 5200 USB-A BTHS+BT700"/>
        <filter val="MICROFONE - CISCO TABLE MICROPHONE PRO (W/11M CABLE), CARBON BLACK-SPARE"/>
        <filter val="TELEFONE CISCO IP 7821COM FONTE"/>
      </filters>
    </filterColumn>
  </autoFilter>
  <tableColumns count="12">
    <tableColumn id="1" xr3:uid="{0BD7196E-6D08-4A12-958C-C5A8E5F7C700}" uniqueName="1" name="PART NUMBER - Coluna 1" queryTableFieldId="1" dataDxfId="20"/>
    <tableColumn id="2" xr3:uid="{2425C3CB-4F1E-4D81-9DB1-DA6FDA6024DA}" uniqueName="2" name="DESCRIÇÃO - Coluna 2" queryTableFieldId="2" dataDxfId="19"/>
    <tableColumn id="3" xr3:uid="{12EC6124-D380-4046-88AF-8134391E9095}" uniqueName="3" name="LOCAL DO ESTOQUE - Coluna 3" queryTableFieldId="3" dataDxfId="18"/>
    <tableColumn id="4" xr3:uid="{3A52A97A-96BC-406D-A5DD-462AC8D7453A}" uniqueName="4" name="CFOP - Coluna 4" queryTableFieldId="4"/>
    <tableColumn id="5" xr3:uid="{24D89398-F3D5-49EE-A363-A2E71494F3CA}" uniqueName="5" name="NATUREZA - Coluna 5" queryTableFieldId="5" dataDxfId="17"/>
    <tableColumn id="6" xr3:uid="{32B1D7D8-A137-4785-BBE9-903A010B02D6}" uniqueName="6" name="FAMÍLIA - Coluna 6" queryTableFieldId="6" dataDxfId="16"/>
    <tableColumn id="7" xr3:uid="{EA6D41F6-BDAE-4160-B469-FD5C47F720DF}" uniqueName="7" name="NCM - Coluna 7" queryTableFieldId="7" dataDxfId="15"/>
    <tableColumn id="8" xr3:uid="{174B2ADB-2822-443C-B161-19E401287C9E}" uniqueName="8" name="ATÉ            15 " queryTableFieldId="8"/>
    <tableColumn id="9" xr3:uid="{AF8C14E4-6102-4795-AE24-D17B1801F9F8}" uniqueName="9" name="ATÉ            120" queryTableFieldId="9"/>
    <tableColumn id="10" xr3:uid="{E7660C87-45B7-44FF-8F92-67A7D7907059}" uniqueName="10" name="Column10" queryTableFieldId="10"/>
    <tableColumn id="11" xr3:uid="{CD7C1924-4BA4-4C72-88E0-145380545766}" uniqueName="11" name="Column11" queryTableFieldId="11"/>
    <tableColumn id="12" xr3:uid="{0F213BBA-BABB-4210-A429-37234D6C8953}" uniqueName="12" name="Column12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7A2144-CBD5-4690-BE54-8B8D1AC174AF}" name="Fornecedores" displayName="Fornecedores" ref="A1:O89" tableType="queryTable" totalsRowShown="0">
  <autoFilter ref="A1:O89" xr:uid="{A87A2144-CBD5-4690-BE54-8B8D1AC174AF}"/>
  <tableColumns count="15">
    <tableColumn id="1" xr3:uid="{022A4114-BA3E-44C0-9B7B-A181EB20A399}" uniqueName="1" name="Column1" queryTableFieldId="1" dataDxfId="14"/>
    <tableColumn id="2" xr3:uid="{6CC57813-CC15-4A8E-964A-274919094F91}" uniqueName="2" name="Column2" queryTableFieldId="2" dataDxfId="13"/>
    <tableColumn id="3" xr3:uid="{7256E13E-34A9-4E25-A78B-53545D089CA2}" uniqueName="3" name="Column3" queryTableFieldId="3" dataDxfId="12"/>
    <tableColumn id="4" xr3:uid="{D6CC554F-F8AF-4B76-A5CB-7E33FE9BC4F3}" uniqueName="4" name="Column4" queryTableFieldId="4" dataDxfId="11"/>
    <tableColumn id="5" xr3:uid="{93E1035E-51E8-478A-9544-D4078BE8E36D}" uniqueName="5" name="Column5" queryTableFieldId="5" dataDxfId="10"/>
    <tableColumn id="6" xr3:uid="{8CCE95D2-DA6D-41BB-8538-C73CBD96351A}" uniqueName="6" name="Column6" queryTableFieldId="6" dataDxfId="9"/>
    <tableColumn id="7" xr3:uid="{F259FB38-A43A-40D8-9192-E94E63FE70BB}" uniqueName="7" name="Column7" queryTableFieldId="7" dataDxfId="8"/>
    <tableColumn id="8" xr3:uid="{636ECA17-EE95-4E2C-9DE0-21F5D09C88C1}" uniqueName="8" name="Column8" queryTableFieldId="8" dataDxfId="7"/>
    <tableColumn id="9" xr3:uid="{CCA98A5E-5461-42E4-A9FF-8AE8FFBAF387}" uniqueName="9" name="Column9" queryTableFieldId="9" dataDxfId="6"/>
    <tableColumn id="10" xr3:uid="{77D5DA4A-0392-4A10-A874-C99D84E44609}" uniqueName="10" name="Column10" queryTableFieldId="10" dataDxfId="5"/>
    <tableColumn id="11" xr3:uid="{50836A99-3B51-4FDD-9320-69CF4EC65F44}" uniqueName="11" name="Column11" queryTableFieldId="11" dataDxfId="4"/>
    <tableColumn id="12" xr3:uid="{76F90A61-CDFD-449B-B594-7F3F9C90BBD5}" uniqueName="12" name="Column12" queryTableFieldId="12" dataDxfId="3"/>
    <tableColumn id="13" xr3:uid="{2009DB8B-1E09-452B-A880-29CB2454E40D}" uniqueName="13" name="Column13" queryTableFieldId="13" dataDxfId="2"/>
    <tableColumn id="14" xr3:uid="{CF0E83EC-BFC0-47DF-ADB9-7BDD7C6C66A3}" uniqueName="14" name="Column14" queryTableFieldId="14" dataDxfId="1"/>
    <tableColumn id="15" xr3:uid="{B1B11ED6-4019-41B4-AC21-3D1470E617BB}" uniqueName="15" name="Column15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control" Target="../activeX/activeX7.xml"/><Relationship Id="rId18" Type="http://schemas.openxmlformats.org/officeDocument/2006/relationships/control" Target="../activeX/activeX12.xml"/><Relationship Id="rId26" Type="http://schemas.openxmlformats.org/officeDocument/2006/relationships/image" Target="../media/image2.emf"/><Relationship Id="rId3" Type="http://schemas.openxmlformats.org/officeDocument/2006/relationships/printerSettings" Target="../printerSettings/printerSettings1.bin"/><Relationship Id="rId21" Type="http://schemas.openxmlformats.org/officeDocument/2006/relationships/control" Target="../activeX/activeX15.xml"/><Relationship Id="rId7" Type="http://schemas.openxmlformats.org/officeDocument/2006/relationships/image" Target="../media/image1.emf"/><Relationship Id="rId12" Type="http://schemas.openxmlformats.org/officeDocument/2006/relationships/control" Target="../activeX/activeX6.xml"/><Relationship Id="rId17" Type="http://schemas.openxmlformats.org/officeDocument/2006/relationships/control" Target="../activeX/activeX11.xml"/><Relationship Id="rId25" Type="http://schemas.openxmlformats.org/officeDocument/2006/relationships/control" Target="../activeX/activeX19.xml"/><Relationship Id="rId33" Type="http://schemas.openxmlformats.org/officeDocument/2006/relationships/comments" Target="../comments1.xml"/><Relationship Id="rId2" Type="http://schemas.openxmlformats.org/officeDocument/2006/relationships/hyperlink" Target="mailto:Elizabeth.SILVA@sephora.com" TargetMode="External"/><Relationship Id="rId16" Type="http://schemas.openxmlformats.org/officeDocument/2006/relationships/control" Target="../activeX/activeX10.xml"/><Relationship Id="rId20" Type="http://schemas.openxmlformats.org/officeDocument/2006/relationships/control" Target="../activeX/activeX14.xml"/><Relationship Id="rId29" Type="http://schemas.openxmlformats.org/officeDocument/2006/relationships/control" Target="../activeX/activeX21.xml"/><Relationship Id="rId1" Type="http://schemas.openxmlformats.org/officeDocument/2006/relationships/hyperlink" Target="mailto:rafaelferraro@lhdtelecom.com.br" TargetMode="External"/><Relationship Id="rId6" Type="http://schemas.openxmlformats.org/officeDocument/2006/relationships/control" Target="../activeX/activeX1.xml"/><Relationship Id="rId11" Type="http://schemas.openxmlformats.org/officeDocument/2006/relationships/control" Target="../activeX/activeX5.xml"/><Relationship Id="rId24" Type="http://schemas.openxmlformats.org/officeDocument/2006/relationships/control" Target="../activeX/activeX18.xml"/><Relationship Id="rId32" Type="http://schemas.openxmlformats.org/officeDocument/2006/relationships/image" Target="../media/image5.emf"/><Relationship Id="rId5" Type="http://schemas.openxmlformats.org/officeDocument/2006/relationships/vmlDrawing" Target="../drawings/vmlDrawing1.vml"/><Relationship Id="rId15" Type="http://schemas.openxmlformats.org/officeDocument/2006/relationships/control" Target="../activeX/activeX9.xml"/><Relationship Id="rId23" Type="http://schemas.openxmlformats.org/officeDocument/2006/relationships/control" Target="../activeX/activeX17.xml"/><Relationship Id="rId28" Type="http://schemas.openxmlformats.org/officeDocument/2006/relationships/image" Target="../media/image3.emf"/><Relationship Id="rId10" Type="http://schemas.openxmlformats.org/officeDocument/2006/relationships/control" Target="../activeX/activeX4.xml"/><Relationship Id="rId19" Type="http://schemas.openxmlformats.org/officeDocument/2006/relationships/control" Target="../activeX/activeX13.xml"/><Relationship Id="rId31" Type="http://schemas.openxmlformats.org/officeDocument/2006/relationships/control" Target="../activeX/activeX22.xml"/><Relationship Id="rId4" Type="http://schemas.openxmlformats.org/officeDocument/2006/relationships/drawing" Target="../drawings/drawing1.xml"/><Relationship Id="rId9" Type="http://schemas.openxmlformats.org/officeDocument/2006/relationships/control" Target="../activeX/activeX3.xml"/><Relationship Id="rId14" Type="http://schemas.openxmlformats.org/officeDocument/2006/relationships/control" Target="../activeX/activeX8.xml"/><Relationship Id="rId22" Type="http://schemas.openxmlformats.org/officeDocument/2006/relationships/control" Target="../activeX/activeX16.xml"/><Relationship Id="rId27" Type="http://schemas.openxmlformats.org/officeDocument/2006/relationships/control" Target="../activeX/activeX20.xml"/><Relationship Id="rId30" Type="http://schemas.openxmlformats.org/officeDocument/2006/relationships/image" Target="../media/image4.emf"/><Relationship Id="rId8" Type="http://schemas.openxmlformats.org/officeDocument/2006/relationships/control" Target="../activeX/activeX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rgb="FFC00000"/>
  </sheetPr>
  <dimension ref="A1:AJ1000"/>
  <sheetViews>
    <sheetView showGridLines="0" tabSelected="1" zoomScaleNormal="100" workbookViewId="0">
      <selection activeCell="E26" sqref="E26"/>
    </sheetView>
  </sheetViews>
  <sheetFormatPr defaultColWidth="9.140625" defaultRowHeight="14.25" customHeight="1"/>
  <cols>
    <col min="1" max="1" width="21.42578125" style="7" customWidth="1"/>
    <col min="2" max="2" width="26" style="7" bestFit="1" customWidth="1"/>
    <col min="3" max="3" width="16" style="68" customWidth="1"/>
    <col min="4" max="4" width="16" style="7" customWidth="1"/>
    <col min="5" max="5" width="34.28515625" style="7" customWidth="1"/>
    <col min="6" max="6" width="15" style="90" customWidth="1"/>
    <col min="7" max="7" width="26.7109375" style="7" bestFit="1" customWidth="1"/>
    <col min="8" max="8" width="14.5703125" style="7" customWidth="1"/>
    <col min="9" max="9" width="37.42578125" style="7" customWidth="1"/>
    <col min="10" max="10" width="16.85546875" style="68" bestFit="1" customWidth="1"/>
    <col min="11" max="11" width="12.28515625" style="7" bestFit="1" customWidth="1"/>
    <col min="12" max="12" width="15.28515625" style="90" customWidth="1"/>
    <col min="13" max="15" width="15.28515625" style="7" customWidth="1"/>
    <col min="16" max="16" width="25.140625" style="13" hidden="1" customWidth="1"/>
    <col min="17" max="18" width="24" style="13" hidden="1" customWidth="1"/>
    <col min="19" max="19" width="9.140625" style="13" customWidth="1"/>
    <col min="20" max="20" width="9.140625" style="13"/>
    <col min="21" max="21" width="71.85546875" style="13" hidden="1" customWidth="1"/>
    <col min="22" max="22" width="19.140625" style="13" hidden="1" customWidth="1"/>
    <col min="23" max="23" width="15.5703125" style="13" hidden="1" customWidth="1"/>
    <col min="24" max="24" width="27" style="13" hidden="1" customWidth="1"/>
    <col min="25" max="25" width="18.28515625" style="13" hidden="1" customWidth="1"/>
    <col min="26" max="27" width="20.5703125" style="13" hidden="1" customWidth="1"/>
    <col min="28" max="28" width="20.7109375" style="13" hidden="1" customWidth="1"/>
    <col min="29" max="29" width="18.28515625" style="13" hidden="1" customWidth="1"/>
    <col min="30" max="30" width="25" style="13" hidden="1" customWidth="1"/>
    <col min="31" max="31" width="29.5703125" style="13" hidden="1" customWidth="1"/>
    <col min="32" max="32" width="18.42578125" style="13" hidden="1" customWidth="1"/>
    <col min="33" max="33" width="18.5703125" style="13" hidden="1" customWidth="1"/>
    <col min="34" max="34" width="23" style="13" hidden="1" customWidth="1"/>
    <col min="35" max="35" width="16.140625" style="13" hidden="1" customWidth="1"/>
    <col min="36" max="36" width="18.42578125" style="12" hidden="1" customWidth="1"/>
    <col min="37" max="16384" width="9.140625" style="13"/>
  </cols>
  <sheetData>
    <row r="1" spans="1:36" s="7" customFormat="1" ht="14.25" customHeight="1">
      <c r="A1" s="71"/>
      <c r="B1" s="72"/>
      <c r="C1" s="73"/>
      <c r="D1" s="72"/>
      <c r="E1" s="72"/>
      <c r="F1" s="74"/>
      <c r="G1" s="74"/>
      <c r="H1" s="75"/>
      <c r="I1" s="72"/>
      <c r="J1" s="72"/>
      <c r="K1" s="74"/>
      <c r="L1" s="72"/>
      <c r="M1" s="72"/>
      <c r="N1" s="72"/>
      <c r="O1" s="76"/>
      <c r="AJ1" s="68"/>
    </row>
    <row r="2" spans="1:36" s="7" customFormat="1" ht="15.75" customHeight="1">
      <c r="A2" s="77"/>
      <c r="B2" s="78"/>
      <c r="C2" s="79"/>
      <c r="D2" s="78"/>
      <c r="E2" s="78"/>
      <c r="F2" s="80"/>
      <c r="G2" s="80"/>
      <c r="H2" s="145" t="s">
        <v>0</v>
      </c>
      <c r="I2" s="146"/>
      <c r="J2" s="104" t="s">
        <v>1995</v>
      </c>
      <c r="K2" s="81"/>
      <c r="L2" s="66"/>
      <c r="M2" s="78"/>
      <c r="N2" s="78"/>
      <c r="O2" s="82"/>
      <c r="AJ2" s="68"/>
    </row>
    <row r="3" spans="1:36" s="7" customFormat="1" ht="15.75" customHeight="1">
      <c r="A3" s="77"/>
      <c r="B3" s="78"/>
      <c r="C3" s="79"/>
      <c r="D3" s="78"/>
      <c r="E3" s="78"/>
      <c r="F3" s="80"/>
      <c r="G3" s="80"/>
      <c r="H3" s="145" t="s">
        <v>1</v>
      </c>
      <c r="I3" s="146"/>
      <c r="J3" s="105">
        <v>46232</v>
      </c>
      <c r="K3" s="65"/>
      <c r="L3" s="83"/>
      <c r="M3" s="78"/>
      <c r="N3" s="78"/>
      <c r="O3" s="82"/>
      <c r="AJ3" s="68"/>
    </row>
    <row r="4" spans="1:36" s="7" customFormat="1" ht="15.75" customHeight="1">
      <c r="A4" s="84"/>
      <c r="B4" s="78"/>
      <c r="C4" s="79"/>
      <c r="D4" s="78"/>
      <c r="E4" s="78"/>
      <c r="F4" s="80"/>
      <c r="G4" s="80"/>
      <c r="H4" s="145" t="s">
        <v>2</v>
      </c>
      <c r="I4" s="146"/>
      <c r="J4" s="105">
        <v>46239</v>
      </c>
      <c r="K4" s="85"/>
      <c r="L4" s="146" t="s">
        <v>3</v>
      </c>
      <c r="M4" s="146"/>
      <c r="N4" s="105">
        <v>46252</v>
      </c>
      <c r="O4" s="82"/>
      <c r="AJ4" s="68"/>
    </row>
    <row r="5" spans="1:36" s="7" customFormat="1" ht="14.25" customHeight="1">
      <c r="A5" s="77"/>
      <c r="B5" s="78"/>
      <c r="C5" s="79"/>
      <c r="D5" s="78"/>
      <c r="E5" s="78"/>
      <c r="F5" s="80" t="s">
        <v>4</v>
      </c>
      <c r="G5" s="80"/>
      <c r="H5" s="63"/>
      <c r="I5" s="64"/>
      <c r="J5" s="106"/>
      <c r="K5" s="65"/>
      <c r="L5" s="65"/>
      <c r="M5" s="66"/>
      <c r="N5" s="108"/>
      <c r="O5" s="82"/>
      <c r="AJ5" s="68"/>
    </row>
    <row r="6" spans="1:36" s="7" customFormat="1" ht="14.25" customHeight="1">
      <c r="A6" s="77"/>
      <c r="B6" s="86"/>
      <c r="C6" s="79"/>
      <c r="D6" s="78"/>
      <c r="E6" s="78"/>
      <c r="F6" s="80"/>
      <c r="G6" s="80"/>
      <c r="H6" s="145" t="s">
        <v>5</v>
      </c>
      <c r="I6" s="146"/>
      <c r="J6" s="107" t="s">
        <v>69</v>
      </c>
      <c r="K6" s="85"/>
      <c r="L6" s="146" t="s">
        <v>6</v>
      </c>
      <c r="M6" s="146"/>
      <c r="N6" s="107" t="s">
        <v>66</v>
      </c>
      <c r="O6" s="82"/>
      <c r="AJ6" s="68"/>
    </row>
    <row r="7" spans="1:36" s="7" customFormat="1" ht="14.25" customHeight="1">
      <c r="A7" s="96" t="s">
        <v>7</v>
      </c>
      <c r="B7" s="78"/>
      <c r="C7" s="87"/>
      <c r="D7" s="78"/>
      <c r="E7" s="78"/>
      <c r="F7" s="80"/>
      <c r="G7" s="80"/>
      <c r="H7" s="88"/>
      <c r="I7" s="78"/>
      <c r="J7" s="78"/>
      <c r="K7" s="80"/>
      <c r="L7" s="78"/>
      <c r="M7" s="78"/>
      <c r="N7" s="43"/>
      <c r="O7" s="46"/>
      <c r="AJ7" s="68"/>
    </row>
    <row r="8" spans="1:36" s="7" customFormat="1" ht="20.25" customHeight="1">
      <c r="A8" s="141" t="s">
        <v>8</v>
      </c>
      <c r="B8" s="121"/>
      <c r="C8" s="121"/>
      <c r="D8" s="121"/>
      <c r="E8" s="121"/>
      <c r="F8" s="121"/>
      <c r="G8" s="121"/>
      <c r="H8" s="120" t="s">
        <v>9</v>
      </c>
      <c r="I8" s="121"/>
      <c r="J8" s="121"/>
      <c r="K8" s="121"/>
      <c r="L8" s="121"/>
      <c r="M8" s="121"/>
      <c r="N8" s="121"/>
      <c r="O8" s="122"/>
      <c r="P8" s="4"/>
      <c r="U8" s="1" t="s">
        <v>10</v>
      </c>
      <c r="V8" s="1" t="s">
        <v>11</v>
      </c>
      <c r="W8" s="1" t="s">
        <v>12</v>
      </c>
      <c r="X8" s="1" t="s">
        <v>13</v>
      </c>
      <c r="Y8" s="1" t="s">
        <v>14</v>
      </c>
      <c r="Z8" s="1" t="s">
        <v>15</v>
      </c>
      <c r="AA8" s="1" t="s">
        <v>16</v>
      </c>
      <c r="AB8" s="1" t="s">
        <v>17</v>
      </c>
      <c r="AC8" s="1" t="s">
        <v>18</v>
      </c>
      <c r="AD8" s="1" t="s">
        <v>19</v>
      </c>
      <c r="AE8" s="1" t="s">
        <v>20</v>
      </c>
      <c r="AF8" s="1" t="s">
        <v>21</v>
      </c>
      <c r="AG8" s="1" t="s">
        <v>22</v>
      </c>
      <c r="AH8" s="1" t="s">
        <v>23</v>
      </c>
      <c r="AI8" s="1" t="s">
        <v>24</v>
      </c>
      <c r="AJ8" s="69" t="s">
        <v>25</v>
      </c>
    </row>
    <row r="9" spans="1:36" s="7" customFormat="1" ht="15.75" customHeight="1">
      <c r="A9" s="8" t="s">
        <v>406</v>
      </c>
      <c r="B9" s="43"/>
      <c r="C9" s="44"/>
      <c r="D9" s="43"/>
      <c r="E9" s="43"/>
      <c r="F9" s="38" t="s">
        <v>27</v>
      </c>
      <c r="G9" s="33" t="str">
        <f>VLOOKUP($A$9,Fornecedores_Pasta,2,0)</f>
        <v>14.619.477/0001-64</v>
      </c>
      <c r="H9" s="9" t="s">
        <v>46</v>
      </c>
      <c r="I9" s="43"/>
      <c r="J9" s="44"/>
      <c r="K9" s="43"/>
      <c r="L9" s="45"/>
      <c r="M9" s="41" t="s">
        <v>27</v>
      </c>
      <c r="N9" s="33" t="str">
        <f>VLOOKUP($H$9,INTERATELL,2,0)</f>
        <v>03.969.530/0002-11</v>
      </c>
      <c r="O9" s="46"/>
      <c r="P9" s="4"/>
      <c r="Q9" s="147" t="s">
        <v>28</v>
      </c>
      <c r="R9" s="147"/>
      <c r="U9" s="10" t="s">
        <v>29</v>
      </c>
      <c r="V9" s="10" t="s">
        <v>30</v>
      </c>
      <c r="W9" s="11" t="s">
        <v>31</v>
      </c>
      <c r="X9" s="10" t="s">
        <v>32</v>
      </c>
      <c r="Y9" s="10" t="s">
        <v>33</v>
      </c>
      <c r="Z9" s="10" t="s">
        <v>34</v>
      </c>
      <c r="AA9" s="10" t="s">
        <v>34</v>
      </c>
      <c r="AB9" s="10" t="s">
        <v>35</v>
      </c>
      <c r="AC9" s="10">
        <v>190</v>
      </c>
      <c r="AD9" s="10" t="s">
        <v>36</v>
      </c>
      <c r="AE9" s="10" t="s">
        <v>37</v>
      </c>
      <c r="AF9" s="10" t="s">
        <v>38</v>
      </c>
      <c r="AG9" s="10" t="s">
        <v>39</v>
      </c>
      <c r="AH9" s="10" t="s">
        <v>40</v>
      </c>
      <c r="AI9" s="10" t="s">
        <v>41</v>
      </c>
      <c r="AJ9" s="70" t="str">
        <f>VLOOKUP($H$9,INTERATELL,14,0)</f>
        <v xml:space="preserve">SERRA </v>
      </c>
    </row>
    <row r="10" spans="1:36" s="7" customFormat="1" ht="15.75" customHeight="1">
      <c r="A10" s="67" t="s">
        <v>42</v>
      </c>
      <c r="B10" s="33" t="str">
        <f>VLOOKUP($A$9,Fornecedores_Pasta,14,0)</f>
        <v>02452-001</v>
      </c>
      <c r="C10" s="34"/>
      <c r="D10" s="35"/>
      <c r="E10" s="35"/>
      <c r="F10" s="36" t="s">
        <v>43</v>
      </c>
      <c r="G10" s="33" t="str">
        <f>VLOOKUP($A$9,Fornecedores_Pasta,3,0)</f>
        <v>146720201116</v>
      </c>
      <c r="H10" s="47" t="s">
        <v>42</v>
      </c>
      <c r="I10" s="33" t="str">
        <f>VLOOKUP($H$9,INTERATELL,15,0)</f>
        <v>29.175-706</v>
      </c>
      <c r="J10" s="48"/>
      <c r="K10" s="52"/>
      <c r="L10" s="49"/>
      <c r="M10" s="41" t="s">
        <v>43</v>
      </c>
      <c r="N10" s="33" t="str">
        <f>VLOOKUP($H$9,INTERATELL,3,0)</f>
        <v>084.000.44-9</v>
      </c>
      <c r="O10" s="50"/>
      <c r="P10" s="4"/>
      <c r="Q10" s="97" t="s">
        <v>44</v>
      </c>
      <c r="R10" s="97" t="s">
        <v>45</v>
      </c>
      <c r="U10" s="10" t="s">
        <v>46</v>
      </c>
      <c r="V10" s="10" t="s">
        <v>47</v>
      </c>
      <c r="W10" s="11" t="s">
        <v>48</v>
      </c>
      <c r="X10" s="10" t="s">
        <v>32</v>
      </c>
      <c r="Y10" s="10" t="s">
        <v>33</v>
      </c>
      <c r="Z10" s="10" t="s">
        <v>34</v>
      </c>
      <c r="AA10" s="10" t="s">
        <v>34</v>
      </c>
      <c r="AB10" s="10" t="s">
        <v>49</v>
      </c>
      <c r="AC10" s="10">
        <v>307</v>
      </c>
      <c r="AD10" s="10" t="s">
        <v>50</v>
      </c>
      <c r="AE10" s="10" t="s">
        <v>51</v>
      </c>
      <c r="AF10" s="10" t="s">
        <v>52</v>
      </c>
      <c r="AG10" s="10" t="s">
        <v>53</v>
      </c>
      <c r="AH10" s="10" t="s">
        <v>54</v>
      </c>
      <c r="AI10" s="10" t="s">
        <v>55</v>
      </c>
      <c r="AJ10" s="68"/>
    </row>
    <row r="11" spans="1:36" s="7" customFormat="1" ht="15.75" customHeight="1">
      <c r="A11" s="67" t="s">
        <v>56</v>
      </c>
      <c r="B11" s="33" t="str">
        <f>VLOOKUP($A$9,Fornecedores_Pasta,12,0)</f>
        <v>SÃO PAULO</v>
      </c>
      <c r="C11" s="37" t="s">
        <v>57</v>
      </c>
      <c r="D11" s="33" t="str">
        <f>VLOOKUP($A$9,Fornecedores_Pasta,13,0)</f>
        <v>SP</v>
      </c>
      <c r="E11" s="35"/>
      <c r="F11" s="38" t="s">
        <v>58</v>
      </c>
      <c r="G11" s="31" t="s">
        <v>898</v>
      </c>
      <c r="H11" s="47" t="s">
        <v>56</v>
      </c>
      <c r="I11" s="33" t="str">
        <f>VLOOKUP($H$9,INTERATELL,12,0)</f>
        <v>Serra ES</v>
      </c>
      <c r="J11" s="40" t="s">
        <v>57</v>
      </c>
      <c r="K11" s="33" t="str">
        <f>VLOOKUP($H$9,INTERATELL,13,0)</f>
        <v>ES</v>
      </c>
      <c r="L11" s="51"/>
      <c r="M11" s="41" t="s">
        <v>58</v>
      </c>
      <c r="N11" s="39" t="str">
        <f>VLOOKUP($H$9,INTERATELL,5,0)</f>
        <v>Gabriella Amaro</v>
      </c>
      <c r="O11" s="50"/>
      <c r="P11" s="4"/>
      <c r="Q11" s="98" t="s">
        <v>59</v>
      </c>
      <c r="R11" s="98" t="s">
        <v>59</v>
      </c>
      <c r="AJ11" s="68"/>
    </row>
    <row r="12" spans="1:36" s="7" customFormat="1" ht="15.75" customHeight="1">
      <c r="A12" s="67" t="s">
        <v>60</v>
      </c>
      <c r="B12" s="33" t="str">
        <f>VLOOKUP($A$9,Fornecedores_Pasta,11,0)</f>
        <v>VILA ESTER (ZONA NORTE)</v>
      </c>
      <c r="C12" s="34"/>
      <c r="D12" s="33"/>
      <c r="E12" s="35"/>
      <c r="F12" s="38" t="s">
        <v>61</v>
      </c>
      <c r="G12" s="31" t="s">
        <v>899</v>
      </c>
      <c r="H12" s="47" t="s">
        <v>60</v>
      </c>
      <c r="I12" s="33" t="str">
        <f>VLOOKUP($H$9,INTERATELL,11,0)</f>
        <v>Nova Zelândia</v>
      </c>
      <c r="J12" s="48"/>
      <c r="K12" s="52"/>
      <c r="L12" s="49"/>
      <c r="M12" s="41" t="s">
        <v>61</v>
      </c>
      <c r="N12" s="39" t="str">
        <f>VLOOKUP($H$9,INTERATELL,6,0)</f>
        <v>(11) 3303-3324</v>
      </c>
      <c r="O12" s="50"/>
      <c r="P12" s="4"/>
      <c r="Q12" s="98" t="s">
        <v>62</v>
      </c>
      <c r="R12" s="98" t="s">
        <v>63</v>
      </c>
      <c r="AJ12" s="68"/>
    </row>
    <row r="13" spans="1:36" s="7" customFormat="1" ht="15.75" customHeight="1">
      <c r="A13" s="67" t="s">
        <v>64</v>
      </c>
      <c r="B13" s="33" t="str">
        <f>VLOOKUP($A$9,Fornecedores_Pasta,8,0)</f>
        <v>RUA MARIA CURUPAITI</v>
      </c>
      <c r="C13" s="40" t="s">
        <v>65</v>
      </c>
      <c r="D13" s="33" t="str">
        <f>VLOOKUP($A$9,Fornecedores_Pasta,9,0)</f>
        <v>441</v>
      </c>
      <c r="E13" s="41"/>
      <c r="F13" s="38" t="s">
        <v>61</v>
      </c>
      <c r="G13" s="31" t="s">
        <v>1982</v>
      </c>
      <c r="H13" s="47" t="s">
        <v>64</v>
      </c>
      <c r="I13" s="33" t="str">
        <f>VLOOKUP($H$9,INTERATELL,8,0)</f>
        <v>Rua Porto Alegre</v>
      </c>
      <c r="J13" s="40" t="s">
        <v>65</v>
      </c>
      <c r="K13" s="33">
        <f>VLOOKUP($H$9,INTERATELL,9,0)</f>
        <v>307</v>
      </c>
      <c r="L13" s="53"/>
      <c r="M13" s="41" t="s">
        <v>61</v>
      </c>
      <c r="N13" s="39" t="str">
        <f>VLOOKUP($H$9,INTERATELL,7,0)</f>
        <v>(11) 3303-3324</v>
      </c>
      <c r="O13" s="50"/>
      <c r="P13" s="4"/>
      <c r="Q13" s="98" t="s">
        <v>66</v>
      </c>
      <c r="R13" s="98" t="s">
        <v>66</v>
      </c>
      <c r="AJ13" s="68"/>
    </row>
    <row r="14" spans="1:36" s="7" customFormat="1" ht="15.75" customHeight="1">
      <c r="A14" s="67" t="s">
        <v>67</v>
      </c>
      <c r="B14" s="33" t="str">
        <f>VLOOKUP($A$9,Fornecedores_Pasta,10,0)</f>
        <v>CONJ. 2007 G</v>
      </c>
      <c r="C14" s="42"/>
      <c r="D14" s="41"/>
      <c r="E14" s="33"/>
      <c r="F14" s="38" t="s">
        <v>68</v>
      </c>
      <c r="G14" s="110" t="s">
        <v>409</v>
      </c>
      <c r="H14" s="47" t="s">
        <v>67</v>
      </c>
      <c r="I14" s="33" t="str">
        <f>VLOOKUP($H$9,INTERATELL,10,0)</f>
        <v>G.02 MOD02B</v>
      </c>
      <c r="J14" s="48"/>
      <c r="K14" s="41"/>
      <c r="L14" s="53"/>
      <c r="M14" s="38" t="s">
        <v>68</v>
      </c>
      <c r="N14" s="39" t="str">
        <f>VLOOKUP($H$9,INTERATELL,4,0)</f>
        <v>financeiro@interatell.com.br</v>
      </c>
      <c r="O14" s="50"/>
      <c r="Q14" s="98" t="s">
        <v>69</v>
      </c>
      <c r="R14" s="98" t="s">
        <v>69</v>
      </c>
      <c r="AJ14" s="68"/>
    </row>
    <row r="15" spans="1:36" s="7" customFormat="1" ht="20.25" customHeight="1">
      <c r="A15" s="141" t="s">
        <v>70</v>
      </c>
      <c r="B15" s="121"/>
      <c r="C15" s="121"/>
      <c r="D15" s="121"/>
      <c r="E15" s="121"/>
      <c r="F15" s="121"/>
      <c r="G15" s="121"/>
      <c r="H15" s="120" t="s">
        <v>71</v>
      </c>
      <c r="I15" s="121"/>
      <c r="J15" s="121"/>
      <c r="K15" s="121"/>
      <c r="L15" s="121"/>
      <c r="M15" s="121"/>
      <c r="N15" s="121"/>
      <c r="O15" s="122"/>
      <c r="Q15" s="99" t="s">
        <v>72</v>
      </c>
      <c r="R15" s="99" t="s">
        <v>72</v>
      </c>
      <c r="AJ15" s="68"/>
    </row>
    <row r="16" spans="1:36" s="7" customFormat="1" ht="15.75" customHeight="1">
      <c r="A16" s="119" t="s">
        <v>1983</v>
      </c>
      <c r="B16" s="119"/>
      <c r="C16" s="119"/>
      <c r="D16" s="119"/>
      <c r="E16" s="119"/>
      <c r="F16" s="41" t="s">
        <v>27</v>
      </c>
      <c r="G16" s="33" t="s">
        <v>1990</v>
      </c>
      <c r="H16" s="123" t="s">
        <v>1994</v>
      </c>
      <c r="I16" s="124"/>
      <c r="J16" s="124"/>
      <c r="K16" s="124"/>
      <c r="L16" s="124"/>
      <c r="M16" s="124"/>
      <c r="N16" s="124"/>
      <c r="O16" s="125"/>
      <c r="Q16" s="98" t="s">
        <v>73</v>
      </c>
      <c r="R16" s="98" t="s">
        <v>73</v>
      </c>
      <c r="AJ16" s="68"/>
    </row>
    <row r="17" spans="1:36" s="7" customFormat="1" ht="15.75" customHeight="1">
      <c r="A17" s="67" t="s">
        <v>74</v>
      </c>
      <c r="B17" s="33" t="s">
        <v>1984</v>
      </c>
      <c r="C17" s="48"/>
      <c r="D17" s="35"/>
      <c r="E17" s="52"/>
      <c r="F17" s="41" t="s">
        <v>75</v>
      </c>
      <c r="G17" s="101" t="s">
        <v>1991</v>
      </c>
      <c r="H17" s="126"/>
      <c r="I17" s="127"/>
      <c r="J17" s="127"/>
      <c r="K17" s="127"/>
      <c r="L17" s="127"/>
      <c r="M17" s="127"/>
      <c r="N17" s="127"/>
      <c r="O17" s="128"/>
      <c r="Q17" s="98" t="s">
        <v>76</v>
      </c>
      <c r="R17" s="98" t="s">
        <v>76</v>
      </c>
      <c r="AJ17" s="68"/>
    </row>
    <row r="18" spans="1:36" s="7" customFormat="1" ht="15.75" customHeight="1">
      <c r="A18" s="67" t="s">
        <v>56</v>
      </c>
      <c r="B18" s="101" t="s">
        <v>873</v>
      </c>
      <c r="C18" s="40" t="s">
        <v>57</v>
      </c>
      <c r="D18" s="102" t="s">
        <v>874</v>
      </c>
      <c r="E18" s="52"/>
      <c r="F18" s="41" t="s">
        <v>43</v>
      </c>
      <c r="G18" s="103">
        <v>767834700455</v>
      </c>
      <c r="H18" s="126"/>
      <c r="I18" s="127"/>
      <c r="J18" s="127"/>
      <c r="K18" s="127"/>
      <c r="L18" s="127"/>
      <c r="M18" s="127"/>
      <c r="N18" s="127"/>
      <c r="O18" s="128"/>
      <c r="Q18" s="98" t="s">
        <v>77</v>
      </c>
      <c r="R18" s="98" t="s">
        <v>77</v>
      </c>
      <c r="AJ18" s="68"/>
    </row>
    <row r="19" spans="1:36" s="7" customFormat="1" ht="15.75" customHeight="1">
      <c r="A19" s="67" t="s">
        <v>60</v>
      </c>
      <c r="B19" s="101" t="s">
        <v>1985</v>
      </c>
      <c r="C19" s="48"/>
      <c r="D19" s="101"/>
      <c r="E19" s="52"/>
      <c r="F19" s="41" t="s">
        <v>58</v>
      </c>
      <c r="G19" s="113" t="s">
        <v>1992</v>
      </c>
      <c r="H19" s="126"/>
      <c r="I19" s="127"/>
      <c r="J19" s="127"/>
      <c r="K19" s="127"/>
      <c r="L19" s="127"/>
      <c r="M19" s="127"/>
      <c r="N19" s="127"/>
      <c r="O19" s="128"/>
      <c r="Q19" s="100" t="s">
        <v>78</v>
      </c>
      <c r="R19" s="99" t="s">
        <v>79</v>
      </c>
      <c r="AJ19" s="68"/>
    </row>
    <row r="20" spans="1:36" s="7" customFormat="1" ht="15.75" customHeight="1">
      <c r="A20" s="67" t="s">
        <v>64</v>
      </c>
      <c r="B20" s="101" t="s">
        <v>1986</v>
      </c>
      <c r="C20" s="40" t="s">
        <v>65</v>
      </c>
      <c r="D20" s="102" t="s">
        <v>400</v>
      </c>
      <c r="E20" s="52"/>
      <c r="F20" s="41" t="s">
        <v>61</v>
      </c>
      <c r="G20" s="113" t="s">
        <v>1062</v>
      </c>
      <c r="H20" s="129"/>
      <c r="I20" s="130"/>
      <c r="J20" s="130"/>
      <c r="K20" s="130"/>
      <c r="L20" s="130"/>
      <c r="M20" s="130"/>
      <c r="N20" s="130"/>
      <c r="O20" s="131"/>
      <c r="Q20" s="98" t="s">
        <v>80</v>
      </c>
      <c r="R20" s="98" t="s">
        <v>81</v>
      </c>
      <c r="AJ20" s="68"/>
    </row>
    <row r="21" spans="1:36" s="7" customFormat="1" ht="20.25" customHeight="1">
      <c r="A21" s="67" t="s">
        <v>67</v>
      </c>
      <c r="B21" s="101" t="s">
        <v>1987</v>
      </c>
      <c r="C21" s="40"/>
      <c r="D21" s="33"/>
      <c r="E21" s="38"/>
      <c r="F21" s="41" t="s">
        <v>61</v>
      </c>
      <c r="G21" s="113" t="s">
        <v>1062</v>
      </c>
      <c r="H21" s="120" t="s">
        <v>82</v>
      </c>
      <c r="I21" s="121"/>
      <c r="J21" s="121"/>
      <c r="K21" s="121"/>
      <c r="L21" s="121"/>
      <c r="M21" s="121"/>
      <c r="N21" s="121"/>
      <c r="O21" s="122"/>
      <c r="Q21" s="98" t="s">
        <v>83</v>
      </c>
      <c r="R21" s="98" t="s">
        <v>84</v>
      </c>
      <c r="AJ21" s="68"/>
    </row>
    <row r="22" spans="1:36" s="7" customFormat="1" ht="15.75" customHeight="1">
      <c r="A22" s="67" t="s">
        <v>85</v>
      </c>
      <c r="B22" s="111" t="s">
        <v>1988</v>
      </c>
      <c r="C22" s="48"/>
      <c r="D22" s="35"/>
      <c r="E22" s="52"/>
      <c r="F22" s="41" t="s">
        <v>86</v>
      </c>
      <c r="G22" s="112" t="s">
        <v>1993</v>
      </c>
      <c r="H22" s="132" t="s">
        <v>1996</v>
      </c>
      <c r="I22" s="133"/>
      <c r="J22" s="133"/>
      <c r="K22" s="133"/>
      <c r="L22" s="133"/>
      <c r="M22" s="133"/>
      <c r="N22" s="133"/>
      <c r="O22" s="134"/>
      <c r="Q22" s="98" t="s">
        <v>87</v>
      </c>
      <c r="R22" s="98" t="s">
        <v>88</v>
      </c>
      <c r="AJ22" s="68"/>
    </row>
    <row r="23" spans="1:36" s="7" customFormat="1" ht="15.75" customHeight="1">
      <c r="A23" s="67" t="s">
        <v>89</v>
      </c>
      <c r="B23" s="102" t="s">
        <v>1989</v>
      </c>
      <c r="C23" s="48"/>
      <c r="D23" s="35"/>
      <c r="E23" s="52"/>
      <c r="F23" s="49"/>
      <c r="G23" s="52"/>
      <c r="H23" s="135"/>
      <c r="I23" s="136"/>
      <c r="J23" s="136"/>
      <c r="K23" s="136"/>
      <c r="L23" s="136"/>
      <c r="M23" s="136"/>
      <c r="N23" s="136"/>
      <c r="O23" s="137"/>
      <c r="Q23" s="98" t="s">
        <v>90</v>
      </c>
      <c r="R23" s="98" t="s">
        <v>90</v>
      </c>
      <c r="AJ23" s="68"/>
    </row>
    <row r="24" spans="1:36" s="7" customFormat="1" ht="15.75" customHeight="1">
      <c r="A24" s="32"/>
      <c r="B24" s="33"/>
      <c r="C24" s="40"/>
      <c r="D24" s="35"/>
      <c r="E24" s="52"/>
      <c r="F24" s="49"/>
      <c r="G24" s="52"/>
      <c r="H24" s="135"/>
      <c r="I24" s="136"/>
      <c r="J24" s="136"/>
      <c r="K24" s="136"/>
      <c r="L24" s="136"/>
      <c r="M24" s="136"/>
      <c r="N24" s="136"/>
      <c r="O24" s="137"/>
      <c r="Q24" s="98" t="s">
        <v>91</v>
      </c>
      <c r="R24" s="98" t="s">
        <v>92</v>
      </c>
      <c r="AJ24" s="68"/>
    </row>
    <row r="25" spans="1:36" s="7" customFormat="1" ht="15.75" customHeight="1">
      <c r="A25" s="32"/>
      <c r="B25" s="33"/>
      <c r="C25" s="48"/>
      <c r="D25" s="52"/>
      <c r="E25" s="52"/>
      <c r="F25" s="49"/>
      <c r="G25" s="52"/>
      <c r="H25" s="135"/>
      <c r="I25" s="136"/>
      <c r="J25" s="136"/>
      <c r="K25" s="136"/>
      <c r="L25" s="136"/>
      <c r="M25" s="136"/>
      <c r="N25" s="136"/>
      <c r="O25" s="137"/>
      <c r="Q25" s="98" t="s">
        <v>93</v>
      </c>
      <c r="R25" s="98" t="s">
        <v>93</v>
      </c>
      <c r="AJ25" s="68"/>
    </row>
    <row r="26" spans="1:36" s="7" customFormat="1" ht="20.25" customHeight="1">
      <c r="A26" s="32"/>
      <c r="B26" s="33"/>
      <c r="C26" s="48"/>
      <c r="D26" s="52"/>
      <c r="E26" s="52"/>
      <c r="F26" s="49"/>
      <c r="G26" s="52"/>
      <c r="H26" s="138"/>
      <c r="I26" s="139"/>
      <c r="J26" s="139"/>
      <c r="K26" s="139"/>
      <c r="L26" s="139"/>
      <c r="M26" s="139"/>
      <c r="N26" s="139"/>
      <c r="O26" s="140"/>
      <c r="P26" s="4"/>
      <c r="Q26" s="98" t="s">
        <v>94</v>
      </c>
      <c r="R26" s="98" t="s">
        <v>94</v>
      </c>
      <c r="AJ26" s="68"/>
    </row>
    <row r="27" spans="1:36" ht="14.25" customHeight="1">
      <c r="A27" s="54"/>
      <c r="B27" s="55"/>
      <c r="C27" s="55"/>
      <c r="D27" s="55"/>
      <c r="E27" s="55"/>
      <c r="F27" s="56"/>
      <c r="G27" s="55"/>
      <c r="H27" s="55"/>
      <c r="I27" s="55"/>
      <c r="J27" s="55"/>
      <c r="K27" s="55"/>
      <c r="L27" s="56"/>
      <c r="M27" s="55"/>
      <c r="N27" s="55"/>
      <c r="O27" s="57"/>
      <c r="P27" s="12"/>
      <c r="Q27" s="98" t="s">
        <v>95</v>
      </c>
      <c r="R27" s="98" t="s">
        <v>95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68"/>
    </row>
    <row r="28" spans="1:36" s="7" customFormat="1" ht="18" customHeight="1">
      <c r="A28" s="58"/>
      <c r="B28" s="59"/>
      <c r="C28" s="60"/>
      <c r="D28" s="61" t="s">
        <v>4</v>
      </c>
      <c r="E28" s="61"/>
      <c r="F28" s="62"/>
      <c r="G28" s="61"/>
      <c r="H28" s="61"/>
      <c r="I28" s="61"/>
      <c r="J28" s="55"/>
      <c r="K28" s="61"/>
      <c r="L28" s="117" t="s">
        <v>96</v>
      </c>
      <c r="M28" s="118"/>
      <c r="N28" s="117" t="s">
        <v>97</v>
      </c>
      <c r="O28" s="122"/>
      <c r="P28" s="4"/>
      <c r="Q28" s="98" t="s">
        <v>98</v>
      </c>
      <c r="R28" s="98" t="s">
        <v>98</v>
      </c>
      <c r="AJ28" s="68"/>
    </row>
    <row r="29" spans="1:36" s="7" customFormat="1" ht="30">
      <c r="A29" s="92" t="s">
        <v>99</v>
      </c>
      <c r="B29" s="93" t="s">
        <v>100</v>
      </c>
      <c r="C29" s="117" t="s">
        <v>101</v>
      </c>
      <c r="D29" s="121"/>
      <c r="E29" s="118"/>
      <c r="F29" s="94" t="s">
        <v>102</v>
      </c>
      <c r="G29" s="94" t="s">
        <v>103</v>
      </c>
      <c r="H29" s="94" t="s">
        <v>104</v>
      </c>
      <c r="I29" s="94" t="s">
        <v>105</v>
      </c>
      <c r="J29" s="94" t="s">
        <v>106</v>
      </c>
      <c r="K29" s="93" t="s">
        <v>107</v>
      </c>
      <c r="L29" s="93" t="s">
        <v>108</v>
      </c>
      <c r="M29" s="93" t="s">
        <v>109</v>
      </c>
      <c r="N29" s="93" t="s">
        <v>108</v>
      </c>
      <c r="O29" s="95" t="s">
        <v>109</v>
      </c>
      <c r="P29" s="5"/>
      <c r="Q29" s="98" t="s">
        <v>110</v>
      </c>
      <c r="R29" s="98" t="s">
        <v>110</v>
      </c>
      <c r="AJ29" s="68"/>
    </row>
    <row r="30" spans="1:36" ht="17.25" customHeight="1">
      <c r="A30" s="14">
        <v>1</v>
      </c>
      <c r="B30" s="109" t="s">
        <v>1999</v>
      </c>
      <c r="C30" s="114" t="s">
        <v>2000</v>
      </c>
      <c r="D30" s="115"/>
      <c r="E30" s="116"/>
      <c r="F30" s="91" t="s">
        <v>53</v>
      </c>
      <c r="G30" s="91">
        <v>5104</v>
      </c>
      <c r="H30" s="91" t="s">
        <v>126</v>
      </c>
      <c r="I30" s="91" t="s">
        <v>151</v>
      </c>
      <c r="J30" s="91" t="s">
        <v>127</v>
      </c>
      <c r="K30" s="15">
        <v>5</v>
      </c>
      <c r="L30" s="22">
        <v>950</v>
      </c>
      <c r="M30" s="22">
        <f>L30*K30</f>
        <v>4750</v>
      </c>
      <c r="N30" s="22">
        <v>1870</v>
      </c>
      <c r="O30" s="22">
        <f>N30*K30</f>
        <v>9350</v>
      </c>
      <c r="P30" s="22">
        <f t="shared" ref="P30:R30" si="0">O30*L30</f>
        <v>8882500</v>
      </c>
      <c r="Q30" s="22">
        <f t="shared" si="0"/>
        <v>42191875000</v>
      </c>
      <c r="R30" s="22">
        <f t="shared" si="0"/>
        <v>78898806250000</v>
      </c>
    </row>
    <row r="31" spans="1:36" ht="17.25" customHeight="1">
      <c r="A31" s="14">
        <v>2</v>
      </c>
      <c r="B31" s="15" t="s">
        <v>1997</v>
      </c>
      <c r="C31" s="114" t="s">
        <v>1998</v>
      </c>
      <c r="D31" s="115"/>
      <c r="E31" s="116"/>
      <c r="F31" s="91" t="s">
        <v>53</v>
      </c>
      <c r="G31" s="91">
        <v>5104</v>
      </c>
      <c r="H31" s="91" t="s">
        <v>126</v>
      </c>
      <c r="I31" s="91" t="s">
        <v>151</v>
      </c>
      <c r="J31" s="91" t="s">
        <v>127</v>
      </c>
      <c r="K31" s="16">
        <v>5</v>
      </c>
      <c r="L31" s="22">
        <v>160</v>
      </c>
      <c r="M31" s="22">
        <f>L31*K31</f>
        <v>800</v>
      </c>
      <c r="N31" s="22">
        <v>350</v>
      </c>
      <c r="O31" s="22">
        <f>N31*K31</f>
        <v>1750</v>
      </c>
      <c r="P31" s="17"/>
      <c r="Q31" s="98" t="s">
        <v>111</v>
      </c>
      <c r="R31" s="98" t="s">
        <v>112</v>
      </c>
    </row>
    <row r="32" spans="1:36" ht="17.25" customHeight="1">
      <c r="A32" s="14">
        <v>3</v>
      </c>
      <c r="B32" s="15" t="s">
        <v>26</v>
      </c>
      <c r="C32" s="114" t="str">
        <f>IFERROR(VLOOKUP(B32,Produtos_Pasta,2,0), "")</f>
        <v/>
      </c>
      <c r="D32" s="115"/>
      <c r="E32" s="116"/>
      <c r="F32" s="91"/>
      <c r="G32" s="91" t="str">
        <f t="shared" ref="G32:G49" si="1">IFERROR(VLOOKUP(B32,Produtos_Pasta,4,0),"")</f>
        <v/>
      </c>
      <c r="H32" s="91" t="str">
        <f t="shared" ref="H32:H49" si="2">IFERROR(VLOOKUP(B32,Produtos_Pasta,5,0),"")</f>
        <v/>
      </c>
      <c r="I32" s="91" t="str">
        <f t="shared" ref="I32:I49" si="3">IFERROR(VLOOKUP(B32,Produtos_Pasta,6,0),"")</f>
        <v/>
      </c>
      <c r="J32" s="91" t="str">
        <f t="shared" ref="J32:J49" si="4">IFERROR(VLOOKUP(B32,Produtos_Pasta,7,0),"")</f>
        <v/>
      </c>
      <c r="K32" s="16"/>
      <c r="L32" s="22"/>
      <c r="M32" s="22"/>
      <c r="N32" s="22"/>
      <c r="O32" s="22"/>
      <c r="P32" s="17"/>
      <c r="Q32" s="98" t="s">
        <v>113</v>
      </c>
      <c r="R32" s="98" t="s">
        <v>113</v>
      </c>
    </row>
    <row r="33" spans="1:18" ht="17.25" customHeight="1">
      <c r="A33" s="14">
        <v>4</v>
      </c>
      <c r="B33" s="15" t="s">
        <v>26</v>
      </c>
      <c r="C33" s="114" t="str">
        <f t="shared" ref="C33:C49" si="5">IFERROR(VLOOKUP(B33,Produtos_Pasta,2,0), "")</f>
        <v/>
      </c>
      <c r="D33" s="115"/>
      <c r="E33" s="116"/>
      <c r="F33" s="91"/>
      <c r="G33" s="91" t="str">
        <f t="shared" si="1"/>
        <v/>
      </c>
      <c r="H33" s="91" t="str">
        <f t="shared" si="2"/>
        <v/>
      </c>
      <c r="I33" s="91" t="str">
        <f t="shared" si="3"/>
        <v/>
      </c>
      <c r="J33" s="91" t="str">
        <f t="shared" si="4"/>
        <v/>
      </c>
      <c r="K33" s="16"/>
      <c r="L33" s="22"/>
      <c r="M33" s="22"/>
      <c r="N33" s="22"/>
      <c r="O33" s="22"/>
      <c r="P33" s="17"/>
      <c r="Q33" s="98" t="s">
        <v>114</v>
      </c>
      <c r="R33" s="98" t="s">
        <v>114</v>
      </c>
    </row>
    <row r="34" spans="1:18" ht="17.25" customHeight="1">
      <c r="A34" s="14">
        <v>5</v>
      </c>
      <c r="B34" s="15" t="s">
        <v>26</v>
      </c>
      <c r="C34" s="114" t="str">
        <f t="shared" si="5"/>
        <v/>
      </c>
      <c r="D34" s="115"/>
      <c r="E34" s="116"/>
      <c r="F34" s="91"/>
      <c r="G34" s="91" t="str">
        <f t="shared" si="1"/>
        <v/>
      </c>
      <c r="H34" s="91" t="str">
        <f t="shared" si="2"/>
        <v/>
      </c>
      <c r="I34" s="91" t="str">
        <f t="shared" si="3"/>
        <v/>
      </c>
      <c r="J34" s="91" t="str">
        <f t="shared" si="4"/>
        <v/>
      </c>
      <c r="K34" s="15"/>
      <c r="L34" s="22"/>
      <c r="M34" s="23"/>
      <c r="N34" s="23"/>
      <c r="O34" s="24"/>
      <c r="P34" s="17"/>
      <c r="Q34" s="98" t="s">
        <v>115</v>
      </c>
      <c r="R34" s="98" t="s">
        <v>115</v>
      </c>
    </row>
    <row r="35" spans="1:18" ht="17.25" customHeight="1">
      <c r="A35" s="14">
        <v>6</v>
      </c>
      <c r="B35" s="15" t="s">
        <v>26</v>
      </c>
      <c r="C35" s="114" t="str">
        <f t="shared" si="5"/>
        <v/>
      </c>
      <c r="D35" s="115"/>
      <c r="E35" s="116"/>
      <c r="F35" s="91"/>
      <c r="G35" s="91" t="str">
        <f t="shared" si="1"/>
        <v/>
      </c>
      <c r="H35" s="91" t="str">
        <f t="shared" si="2"/>
        <v/>
      </c>
      <c r="I35" s="91" t="str">
        <f t="shared" si="3"/>
        <v/>
      </c>
      <c r="J35" s="91" t="str">
        <f t="shared" si="4"/>
        <v/>
      </c>
      <c r="K35" s="15"/>
      <c r="L35" s="22"/>
      <c r="M35" s="23"/>
      <c r="N35" s="23"/>
      <c r="O35" s="24"/>
      <c r="P35" s="17"/>
      <c r="Q35" s="98" t="s">
        <v>116</v>
      </c>
      <c r="R35" s="98" t="s">
        <v>116</v>
      </c>
    </row>
    <row r="36" spans="1:18" ht="17.25" customHeight="1">
      <c r="A36" s="14">
        <v>7</v>
      </c>
      <c r="B36" s="15" t="s">
        <v>26</v>
      </c>
      <c r="C36" s="114" t="str">
        <f t="shared" si="5"/>
        <v/>
      </c>
      <c r="D36" s="115"/>
      <c r="E36" s="116"/>
      <c r="F36" s="91"/>
      <c r="G36" s="91" t="str">
        <f t="shared" si="1"/>
        <v/>
      </c>
      <c r="H36" s="91" t="str">
        <f t="shared" si="2"/>
        <v/>
      </c>
      <c r="I36" s="91" t="str">
        <f t="shared" si="3"/>
        <v/>
      </c>
      <c r="J36" s="91" t="str">
        <f t="shared" si="4"/>
        <v/>
      </c>
      <c r="K36" s="16"/>
      <c r="L36" s="22"/>
      <c r="M36" s="23"/>
      <c r="N36" s="25"/>
      <c r="O36" s="26"/>
      <c r="P36" s="17"/>
      <c r="Q36" s="98" t="s">
        <v>117</v>
      </c>
      <c r="R36" s="98" t="s">
        <v>117</v>
      </c>
    </row>
    <row r="37" spans="1:18" ht="17.25" customHeight="1">
      <c r="A37" s="14">
        <v>8</v>
      </c>
      <c r="B37" s="15"/>
      <c r="C37" s="114" t="str">
        <f t="shared" si="5"/>
        <v/>
      </c>
      <c r="D37" s="115"/>
      <c r="E37" s="116"/>
      <c r="F37" s="91"/>
      <c r="G37" s="91" t="str">
        <f t="shared" si="1"/>
        <v/>
      </c>
      <c r="H37" s="91" t="str">
        <f t="shared" si="2"/>
        <v/>
      </c>
      <c r="I37" s="91" t="str">
        <f t="shared" si="3"/>
        <v/>
      </c>
      <c r="J37" s="91" t="str">
        <f t="shared" si="4"/>
        <v/>
      </c>
      <c r="K37" s="15"/>
      <c r="L37" s="22"/>
      <c r="M37" s="23"/>
      <c r="N37" s="23"/>
      <c r="O37" s="24"/>
      <c r="P37" s="17"/>
      <c r="Q37" s="98" t="s">
        <v>118</v>
      </c>
      <c r="R37" s="98" t="s">
        <v>118</v>
      </c>
    </row>
    <row r="38" spans="1:18" ht="17.25" customHeight="1">
      <c r="A38" s="14">
        <v>9</v>
      </c>
      <c r="B38" s="15"/>
      <c r="C38" s="114" t="str">
        <f t="shared" si="5"/>
        <v/>
      </c>
      <c r="D38" s="115"/>
      <c r="E38" s="116"/>
      <c r="F38" s="91"/>
      <c r="G38" s="91" t="str">
        <f t="shared" si="1"/>
        <v/>
      </c>
      <c r="H38" s="91" t="str">
        <f t="shared" si="2"/>
        <v/>
      </c>
      <c r="I38" s="91" t="str">
        <f t="shared" si="3"/>
        <v/>
      </c>
      <c r="J38" s="91" t="str">
        <f t="shared" si="4"/>
        <v/>
      </c>
      <c r="K38" s="16"/>
      <c r="L38" s="22"/>
      <c r="M38" s="23"/>
      <c r="N38" s="25"/>
      <c r="O38" s="26"/>
      <c r="P38" s="17"/>
      <c r="Q38" s="17"/>
      <c r="R38" s="17"/>
    </row>
    <row r="39" spans="1:18" ht="17.25" customHeight="1">
      <c r="A39" s="14">
        <v>10</v>
      </c>
      <c r="B39" s="15"/>
      <c r="C39" s="114" t="str">
        <f t="shared" si="5"/>
        <v/>
      </c>
      <c r="D39" s="115"/>
      <c r="E39" s="116"/>
      <c r="F39" s="91"/>
      <c r="G39" s="91" t="str">
        <f t="shared" si="1"/>
        <v/>
      </c>
      <c r="H39" s="91" t="str">
        <f t="shared" si="2"/>
        <v/>
      </c>
      <c r="I39" s="91" t="str">
        <f t="shared" si="3"/>
        <v/>
      </c>
      <c r="J39" s="91" t="str">
        <f t="shared" si="4"/>
        <v/>
      </c>
      <c r="K39" s="15"/>
      <c r="L39" s="22"/>
      <c r="M39" s="23"/>
      <c r="N39" s="23"/>
      <c r="O39" s="24"/>
      <c r="P39" s="17"/>
      <c r="Q39" s="17"/>
      <c r="R39" s="17"/>
    </row>
    <row r="40" spans="1:18" ht="17.25" customHeight="1">
      <c r="A40" s="14">
        <v>11</v>
      </c>
      <c r="B40" s="15"/>
      <c r="C40" s="114" t="str">
        <f t="shared" si="5"/>
        <v/>
      </c>
      <c r="D40" s="115"/>
      <c r="E40" s="116"/>
      <c r="F40" s="91"/>
      <c r="G40" s="91" t="str">
        <f t="shared" si="1"/>
        <v/>
      </c>
      <c r="H40" s="91" t="str">
        <f t="shared" si="2"/>
        <v/>
      </c>
      <c r="I40" s="91" t="str">
        <f t="shared" si="3"/>
        <v/>
      </c>
      <c r="J40" s="91" t="str">
        <f t="shared" si="4"/>
        <v/>
      </c>
      <c r="K40" s="15"/>
      <c r="L40" s="22"/>
      <c r="M40" s="23"/>
      <c r="N40" s="23"/>
      <c r="O40" s="24"/>
      <c r="P40" s="17"/>
      <c r="Q40" s="17"/>
      <c r="R40" s="17"/>
    </row>
    <row r="41" spans="1:18" ht="17.25" customHeight="1">
      <c r="A41" s="14">
        <v>12</v>
      </c>
      <c r="B41" s="15" t="s">
        <v>26</v>
      </c>
      <c r="C41" s="114" t="str">
        <f t="shared" si="5"/>
        <v/>
      </c>
      <c r="D41" s="115"/>
      <c r="E41" s="116"/>
      <c r="F41" s="91"/>
      <c r="G41" s="91" t="str">
        <f t="shared" si="1"/>
        <v/>
      </c>
      <c r="H41" s="91" t="str">
        <f t="shared" si="2"/>
        <v/>
      </c>
      <c r="I41" s="91" t="str">
        <f t="shared" si="3"/>
        <v/>
      </c>
      <c r="J41" s="91" t="str">
        <f t="shared" si="4"/>
        <v/>
      </c>
      <c r="K41" s="15"/>
      <c r="L41" s="22"/>
      <c r="M41" s="23"/>
      <c r="N41" s="23"/>
      <c r="O41" s="24"/>
      <c r="P41" s="17"/>
      <c r="Q41" s="17"/>
      <c r="R41" s="17"/>
    </row>
    <row r="42" spans="1:18" ht="17.25" customHeight="1">
      <c r="A42" s="14">
        <v>13</v>
      </c>
      <c r="B42" s="15"/>
      <c r="C42" s="114" t="str">
        <f t="shared" si="5"/>
        <v/>
      </c>
      <c r="D42" s="115"/>
      <c r="E42" s="116"/>
      <c r="F42" s="91"/>
      <c r="G42" s="91" t="str">
        <f t="shared" si="1"/>
        <v/>
      </c>
      <c r="H42" s="91" t="str">
        <f t="shared" si="2"/>
        <v/>
      </c>
      <c r="I42" s="91" t="str">
        <f t="shared" si="3"/>
        <v/>
      </c>
      <c r="J42" s="91" t="str">
        <f t="shared" si="4"/>
        <v/>
      </c>
      <c r="K42" s="16"/>
      <c r="L42" s="22"/>
      <c r="M42" s="23"/>
      <c r="N42" s="25"/>
      <c r="O42" s="26"/>
      <c r="P42" s="17"/>
      <c r="Q42" s="17"/>
      <c r="R42" s="17"/>
    </row>
    <row r="43" spans="1:18" ht="17.25" customHeight="1">
      <c r="A43" s="14">
        <v>14</v>
      </c>
      <c r="B43" s="15"/>
      <c r="C43" s="114" t="str">
        <f t="shared" si="5"/>
        <v/>
      </c>
      <c r="D43" s="115"/>
      <c r="E43" s="116"/>
      <c r="F43" s="91"/>
      <c r="G43" s="91" t="str">
        <f t="shared" si="1"/>
        <v/>
      </c>
      <c r="H43" s="91" t="str">
        <f t="shared" si="2"/>
        <v/>
      </c>
      <c r="I43" s="91" t="str">
        <f t="shared" si="3"/>
        <v/>
      </c>
      <c r="J43" s="91" t="str">
        <f t="shared" si="4"/>
        <v/>
      </c>
      <c r="K43" s="15"/>
      <c r="L43" s="22"/>
      <c r="M43" s="23"/>
      <c r="N43" s="23"/>
      <c r="O43" s="24"/>
      <c r="P43" s="17"/>
      <c r="Q43" s="17"/>
      <c r="R43" s="17"/>
    </row>
    <row r="44" spans="1:18" ht="17.25" customHeight="1">
      <c r="A44" s="14">
        <v>15</v>
      </c>
      <c r="B44" s="15"/>
      <c r="C44" s="114" t="str">
        <f t="shared" si="5"/>
        <v/>
      </c>
      <c r="D44" s="115"/>
      <c r="E44" s="116"/>
      <c r="F44" s="91"/>
      <c r="G44" s="91" t="str">
        <f t="shared" si="1"/>
        <v/>
      </c>
      <c r="H44" s="91" t="str">
        <f t="shared" si="2"/>
        <v/>
      </c>
      <c r="I44" s="91" t="str">
        <f t="shared" si="3"/>
        <v/>
      </c>
      <c r="J44" s="91" t="str">
        <f t="shared" si="4"/>
        <v/>
      </c>
      <c r="K44" s="15"/>
      <c r="L44" s="22"/>
      <c r="M44" s="23"/>
      <c r="N44" s="23"/>
      <c r="O44" s="24"/>
      <c r="P44" s="17"/>
      <c r="Q44" s="17"/>
      <c r="R44" s="17"/>
    </row>
    <row r="45" spans="1:18" ht="17.25" customHeight="1">
      <c r="A45" s="14">
        <v>16</v>
      </c>
      <c r="B45" s="15" t="s">
        <v>26</v>
      </c>
      <c r="C45" s="114" t="str">
        <f t="shared" si="5"/>
        <v/>
      </c>
      <c r="D45" s="115"/>
      <c r="E45" s="116"/>
      <c r="F45" s="91"/>
      <c r="G45" s="91" t="str">
        <f t="shared" si="1"/>
        <v/>
      </c>
      <c r="H45" s="91" t="str">
        <f t="shared" si="2"/>
        <v/>
      </c>
      <c r="I45" s="91" t="str">
        <f t="shared" si="3"/>
        <v/>
      </c>
      <c r="J45" s="91" t="str">
        <f t="shared" si="4"/>
        <v/>
      </c>
      <c r="K45" s="15"/>
      <c r="L45" s="22"/>
      <c r="M45" s="23"/>
      <c r="N45" s="23"/>
      <c r="O45" s="24"/>
      <c r="P45" s="17"/>
      <c r="Q45" s="17"/>
      <c r="R45" s="17"/>
    </row>
    <row r="46" spans="1:18" ht="17.25" customHeight="1">
      <c r="A46" s="14">
        <v>17</v>
      </c>
      <c r="B46" s="15"/>
      <c r="C46" s="114" t="str">
        <f t="shared" si="5"/>
        <v/>
      </c>
      <c r="D46" s="115"/>
      <c r="E46" s="116"/>
      <c r="F46" s="91"/>
      <c r="G46" s="91" t="str">
        <f t="shared" si="1"/>
        <v/>
      </c>
      <c r="H46" s="91" t="str">
        <f t="shared" si="2"/>
        <v/>
      </c>
      <c r="I46" s="91" t="str">
        <f t="shared" si="3"/>
        <v/>
      </c>
      <c r="J46" s="91" t="str">
        <f t="shared" si="4"/>
        <v/>
      </c>
      <c r="K46" s="15"/>
      <c r="L46" s="22"/>
      <c r="M46" s="23"/>
      <c r="N46" s="23"/>
      <c r="O46" s="24"/>
      <c r="P46" s="17"/>
      <c r="Q46" s="17"/>
      <c r="R46" s="17"/>
    </row>
    <row r="47" spans="1:18" ht="17.25" customHeight="1">
      <c r="A47" s="14">
        <v>18</v>
      </c>
      <c r="B47" s="15"/>
      <c r="C47" s="114" t="str">
        <f t="shared" si="5"/>
        <v/>
      </c>
      <c r="D47" s="115"/>
      <c r="E47" s="116"/>
      <c r="F47" s="91"/>
      <c r="G47" s="91" t="str">
        <f t="shared" si="1"/>
        <v/>
      </c>
      <c r="H47" s="91" t="str">
        <f t="shared" si="2"/>
        <v/>
      </c>
      <c r="I47" s="91" t="str">
        <f t="shared" si="3"/>
        <v/>
      </c>
      <c r="J47" s="91" t="str">
        <f t="shared" si="4"/>
        <v/>
      </c>
      <c r="K47" s="15"/>
      <c r="L47" s="22"/>
      <c r="M47" s="23"/>
      <c r="N47" s="23"/>
      <c r="O47" s="24"/>
      <c r="P47" s="17"/>
      <c r="Q47" s="17"/>
      <c r="R47" s="17"/>
    </row>
    <row r="48" spans="1:18" ht="17.25" customHeight="1">
      <c r="A48" s="14">
        <v>19</v>
      </c>
      <c r="B48" s="15" t="s">
        <v>26</v>
      </c>
      <c r="C48" s="114" t="str">
        <f t="shared" si="5"/>
        <v/>
      </c>
      <c r="D48" s="115"/>
      <c r="E48" s="116"/>
      <c r="F48" s="91"/>
      <c r="G48" s="91" t="str">
        <f t="shared" si="1"/>
        <v/>
      </c>
      <c r="H48" s="91" t="str">
        <f t="shared" si="2"/>
        <v/>
      </c>
      <c r="I48" s="91" t="str">
        <f t="shared" si="3"/>
        <v/>
      </c>
      <c r="J48" s="91" t="str">
        <f t="shared" si="4"/>
        <v/>
      </c>
      <c r="K48" s="16"/>
      <c r="L48" s="22"/>
      <c r="M48" s="23"/>
      <c r="N48" s="25"/>
      <c r="O48" s="26"/>
      <c r="P48" s="17"/>
      <c r="Q48" s="17"/>
      <c r="R48" s="17"/>
    </row>
    <row r="49" spans="1:36" ht="17.25" customHeight="1">
      <c r="A49" s="18">
        <v>20</v>
      </c>
      <c r="B49" s="18" t="s">
        <v>26</v>
      </c>
      <c r="C49" s="114" t="str">
        <f t="shared" si="5"/>
        <v/>
      </c>
      <c r="D49" s="115"/>
      <c r="E49" s="116"/>
      <c r="F49" s="91"/>
      <c r="G49" s="91" t="str">
        <f t="shared" si="1"/>
        <v/>
      </c>
      <c r="H49" s="91" t="str">
        <f t="shared" si="2"/>
        <v/>
      </c>
      <c r="I49" s="91" t="str">
        <f t="shared" si="3"/>
        <v/>
      </c>
      <c r="J49" s="91" t="str">
        <f t="shared" si="4"/>
        <v/>
      </c>
      <c r="K49" s="19"/>
      <c r="L49" s="27"/>
      <c r="M49" s="28"/>
      <c r="N49" s="29"/>
      <c r="O49" s="30"/>
      <c r="P49" s="17"/>
      <c r="Q49" s="17"/>
      <c r="R49" s="17"/>
    </row>
    <row r="50" spans="1:36" ht="14.25" customHeight="1">
      <c r="A50" s="13"/>
      <c r="B50" s="13"/>
      <c r="C50" s="12"/>
      <c r="D50" s="13"/>
      <c r="E50" s="13"/>
      <c r="F50" s="20"/>
      <c r="G50" s="13"/>
      <c r="H50" s="13"/>
      <c r="I50" s="13"/>
      <c r="J50" s="12"/>
      <c r="K50" s="13"/>
      <c r="L50" s="21"/>
      <c r="M50" s="13"/>
      <c r="N50" s="143">
        <f>SUM(O30:O49)</f>
        <v>11100</v>
      </c>
      <c r="O50" s="144"/>
      <c r="P50" s="6"/>
      <c r="Q50" s="142"/>
      <c r="R50" s="142"/>
    </row>
    <row r="51" spans="1:36" s="7" customFormat="1" ht="14.25" customHeight="1">
      <c r="C51" s="68"/>
      <c r="F51" s="90"/>
      <c r="J51" s="68"/>
      <c r="L51" s="89"/>
      <c r="AJ51" s="68"/>
    </row>
    <row r="52" spans="1:36" s="7" customFormat="1" ht="14.25" customHeight="1">
      <c r="C52" s="68"/>
      <c r="F52" s="90"/>
      <c r="J52" s="68"/>
      <c r="L52" s="89"/>
      <c r="AJ52" s="68"/>
    </row>
    <row r="53" spans="1:36" s="7" customFormat="1" ht="14.25" customHeight="1">
      <c r="C53" s="68"/>
      <c r="F53" s="90"/>
      <c r="J53" s="68"/>
      <c r="L53" s="89"/>
      <c r="AJ53" s="68"/>
    </row>
    <row r="54" spans="1:36" s="7" customFormat="1" ht="14.25" customHeight="1">
      <c r="C54" s="68"/>
      <c r="F54" s="90"/>
      <c r="J54" s="68"/>
      <c r="L54" s="89"/>
      <c r="AJ54" s="68"/>
    </row>
    <row r="55" spans="1:36" s="7" customFormat="1" ht="14.25" customHeight="1">
      <c r="C55" s="68"/>
      <c r="F55" s="90"/>
      <c r="J55" s="68"/>
      <c r="L55" s="89"/>
      <c r="AJ55" s="68"/>
    </row>
    <row r="56" spans="1:36" s="7" customFormat="1" ht="14.25" customHeight="1">
      <c r="C56" s="68"/>
      <c r="F56" s="90"/>
      <c r="J56" s="68"/>
      <c r="L56" s="89"/>
      <c r="AJ56" s="68"/>
    </row>
    <row r="57" spans="1:36" s="7" customFormat="1" ht="14.25" customHeight="1">
      <c r="C57" s="68"/>
      <c r="F57" s="90"/>
      <c r="J57" s="68"/>
      <c r="L57" s="89"/>
      <c r="AJ57" s="68"/>
    </row>
    <row r="58" spans="1:36" s="7" customFormat="1" ht="14.25" customHeight="1">
      <c r="C58" s="68"/>
      <c r="F58" s="90"/>
      <c r="J58" s="68"/>
      <c r="L58" s="89"/>
      <c r="AJ58" s="68"/>
    </row>
    <row r="59" spans="1:36" s="7" customFormat="1" ht="14.25" customHeight="1">
      <c r="C59" s="68"/>
      <c r="F59" s="90"/>
      <c r="J59" s="68"/>
      <c r="L59" s="89"/>
      <c r="AJ59" s="68"/>
    </row>
    <row r="60" spans="1:36" s="7" customFormat="1" ht="14.25" customHeight="1">
      <c r="C60" s="68"/>
      <c r="F60" s="90"/>
      <c r="J60" s="68"/>
      <c r="L60" s="89"/>
      <c r="AJ60" s="68"/>
    </row>
    <row r="61" spans="1:36" s="7" customFormat="1" ht="14.25" customHeight="1">
      <c r="C61" s="68"/>
      <c r="F61" s="90"/>
      <c r="J61" s="68"/>
      <c r="L61" s="89"/>
      <c r="AJ61" s="68"/>
    </row>
    <row r="62" spans="1:36" s="7" customFormat="1" ht="14.25" customHeight="1">
      <c r="C62" s="68"/>
      <c r="F62" s="90"/>
      <c r="J62" s="68"/>
      <c r="L62" s="89"/>
      <c r="AJ62" s="68"/>
    </row>
    <row r="63" spans="1:36" s="7" customFormat="1" ht="14.25" customHeight="1">
      <c r="C63" s="68"/>
      <c r="F63" s="90"/>
      <c r="J63" s="68"/>
      <c r="L63" s="89"/>
      <c r="AJ63" s="68"/>
    </row>
    <row r="64" spans="1:36" s="7" customFormat="1" ht="14.25" customHeight="1">
      <c r="C64" s="68"/>
      <c r="F64" s="90"/>
      <c r="J64" s="68"/>
      <c r="L64" s="89"/>
      <c r="AJ64" s="68"/>
    </row>
    <row r="65" spans="3:36" s="7" customFormat="1" ht="14.25" customHeight="1">
      <c r="C65" s="68"/>
      <c r="F65" s="90"/>
      <c r="J65" s="68"/>
      <c r="L65" s="89"/>
      <c r="AJ65" s="68"/>
    </row>
    <row r="66" spans="3:36" s="7" customFormat="1" ht="14.25" customHeight="1">
      <c r="C66" s="68"/>
      <c r="F66" s="90"/>
      <c r="J66" s="68"/>
      <c r="L66" s="89"/>
      <c r="AJ66" s="68"/>
    </row>
    <row r="67" spans="3:36" s="7" customFormat="1" ht="14.25" customHeight="1">
      <c r="C67" s="68"/>
      <c r="F67" s="90"/>
      <c r="J67" s="68"/>
      <c r="L67" s="89"/>
      <c r="AJ67" s="68"/>
    </row>
    <row r="68" spans="3:36" s="7" customFormat="1" ht="14.25" customHeight="1">
      <c r="C68" s="68"/>
      <c r="F68" s="90"/>
      <c r="J68" s="68"/>
      <c r="L68" s="89"/>
      <c r="AJ68" s="68"/>
    </row>
    <row r="69" spans="3:36" s="7" customFormat="1" ht="14.25" customHeight="1">
      <c r="C69" s="68"/>
      <c r="F69" s="90"/>
      <c r="J69" s="68"/>
      <c r="L69" s="89"/>
      <c r="AJ69" s="68"/>
    </row>
    <row r="70" spans="3:36" s="7" customFormat="1" ht="14.25" customHeight="1">
      <c r="C70" s="68"/>
      <c r="F70" s="90"/>
      <c r="J70" s="68"/>
      <c r="L70" s="89"/>
      <c r="AJ70" s="68"/>
    </row>
    <row r="71" spans="3:36" s="7" customFormat="1" ht="14.25" customHeight="1">
      <c r="C71" s="68"/>
      <c r="F71" s="90"/>
      <c r="J71" s="68"/>
      <c r="L71" s="89"/>
      <c r="AJ71" s="68"/>
    </row>
    <row r="72" spans="3:36" s="7" customFormat="1" ht="14.25" customHeight="1">
      <c r="C72" s="68"/>
      <c r="F72" s="90"/>
      <c r="J72" s="68"/>
      <c r="L72" s="89"/>
      <c r="AJ72" s="68"/>
    </row>
    <row r="73" spans="3:36" s="7" customFormat="1" ht="14.25" customHeight="1">
      <c r="C73" s="68"/>
      <c r="F73" s="90"/>
      <c r="J73" s="68"/>
      <c r="L73" s="89"/>
      <c r="AJ73" s="68"/>
    </row>
    <row r="74" spans="3:36" s="7" customFormat="1" ht="14.25" customHeight="1">
      <c r="C74" s="68"/>
      <c r="F74" s="90"/>
      <c r="J74" s="68"/>
      <c r="L74" s="89"/>
      <c r="AJ74" s="68"/>
    </row>
    <row r="75" spans="3:36" s="7" customFormat="1" ht="14.25" customHeight="1">
      <c r="C75" s="68"/>
      <c r="F75" s="90"/>
      <c r="J75" s="68"/>
      <c r="L75" s="89"/>
      <c r="AJ75" s="68"/>
    </row>
    <row r="76" spans="3:36" s="7" customFormat="1" ht="14.25" customHeight="1">
      <c r="C76" s="68"/>
      <c r="F76" s="90"/>
      <c r="J76" s="68"/>
      <c r="L76" s="89"/>
      <c r="AJ76" s="68"/>
    </row>
    <row r="77" spans="3:36" s="7" customFormat="1" ht="14.25" customHeight="1">
      <c r="C77" s="68"/>
      <c r="F77" s="90"/>
      <c r="J77" s="68"/>
      <c r="L77" s="89"/>
      <c r="AJ77" s="68"/>
    </row>
    <row r="78" spans="3:36" s="7" customFormat="1" ht="14.25" customHeight="1">
      <c r="C78" s="68"/>
      <c r="F78" s="90"/>
      <c r="J78" s="68"/>
      <c r="L78" s="89"/>
      <c r="AJ78" s="68"/>
    </row>
    <row r="79" spans="3:36" s="7" customFormat="1" ht="14.25" customHeight="1">
      <c r="C79" s="68"/>
      <c r="F79" s="90"/>
      <c r="J79" s="68"/>
      <c r="L79" s="89"/>
      <c r="AJ79" s="68"/>
    </row>
    <row r="80" spans="3:36" s="7" customFormat="1" ht="14.25" customHeight="1">
      <c r="C80" s="68"/>
      <c r="F80" s="90"/>
      <c r="J80" s="68"/>
      <c r="L80" s="89"/>
      <c r="AJ80" s="68"/>
    </row>
    <row r="81" spans="3:36" s="7" customFormat="1" ht="14.25" customHeight="1">
      <c r="C81" s="68"/>
      <c r="F81" s="90"/>
      <c r="J81" s="68"/>
      <c r="L81" s="89"/>
      <c r="AJ81" s="68"/>
    </row>
    <row r="82" spans="3:36" s="7" customFormat="1" ht="14.25" customHeight="1">
      <c r="C82" s="68"/>
      <c r="F82" s="90"/>
      <c r="J82" s="68"/>
      <c r="L82" s="89"/>
      <c r="AJ82" s="68"/>
    </row>
    <row r="83" spans="3:36" s="7" customFormat="1" ht="14.25" customHeight="1">
      <c r="C83" s="68"/>
      <c r="F83" s="90"/>
      <c r="J83" s="68"/>
      <c r="L83" s="89"/>
      <c r="AJ83" s="68"/>
    </row>
    <row r="84" spans="3:36" s="7" customFormat="1" ht="14.25" customHeight="1">
      <c r="C84" s="68"/>
      <c r="F84" s="90"/>
      <c r="J84" s="68"/>
      <c r="L84" s="89"/>
      <c r="AJ84" s="68"/>
    </row>
    <row r="85" spans="3:36" s="7" customFormat="1" ht="14.25" customHeight="1">
      <c r="C85" s="68"/>
      <c r="F85" s="90"/>
      <c r="J85" s="68"/>
      <c r="L85" s="89"/>
      <c r="AJ85" s="68"/>
    </row>
    <row r="86" spans="3:36" s="7" customFormat="1" ht="14.25" customHeight="1">
      <c r="C86" s="68"/>
      <c r="F86" s="90"/>
      <c r="J86" s="68"/>
      <c r="L86" s="89"/>
      <c r="AJ86" s="68"/>
    </row>
    <row r="87" spans="3:36" s="7" customFormat="1" ht="14.25" customHeight="1">
      <c r="C87" s="68"/>
      <c r="F87" s="90"/>
      <c r="J87" s="68"/>
      <c r="L87" s="89"/>
      <c r="AJ87" s="68"/>
    </row>
    <row r="88" spans="3:36" s="7" customFormat="1" ht="14.25" customHeight="1">
      <c r="C88" s="68"/>
      <c r="F88" s="90"/>
      <c r="J88" s="68"/>
      <c r="L88" s="89"/>
      <c r="AJ88" s="68"/>
    </row>
    <row r="89" spans="3:36" s="7" customFormat="1" ht="14.25" customHeight="1">
      <c r="C89" s="68"/>
      <c r="F89" s="90"/>
      <c r="J89" s="68"/>
      <c r="L89" s="89"/>
      <c r="AJ89" s="68"/>
    </row>
    <row r="90" spans="3:36" s="7" customFormat="1" ht="14.25" customHeight="1">
      <c r="C90" s="68"/>
      <c r="F90" s="90"/>
      <c r="J90" s="68"/>
      <c r="L90" s="89"/>
      <c r="AJ90" s="68"/>
    </row>
    <row r="91" spans="3:36" s="7" customFormat="1" ht="14.25" customHeight="1">
      <c r="C91" s="68"/>
      <c r="F91" s="90"/>
      <c r="J91" s="68"/>
      <c r="L91" s="89"/>
      <c r="AJ91" s="68"/>
    </row>
    <row r="92" spans="3:36" s="7" customFormat="1" ht="14.25" customHeight="1">
      <c r="C92" s="68"/>
      <c r="F92" s="90"/>
      <c r="J92" s="68"/>
      <c r="L92" s="89"/>
      <c r="AJ92" s="68"/>
    </row>
    <row r="93" spans="3:36" s="7" customFormat="1" ht="14.25" customHeight="1">
      <c r="C93" s="68"/>
      <c r="F93" s="90"/>
      <c r="J93" s="68"/>
      <c r="L93" s="89"/>
      <c r="AJ93" s="68"/>
    </row>
    <row r="94" spans="3:36" s="7" customFormat="1" ht="14.25" customHeight="1">
      <c r="C94" s="68"/>
      <c r="F94" s="90"/>
      <c r="J94" s="68"/>
      <c r="L94" s="89"/>
      <c r="AJ94" s="68"/>
    </row>
    <row r="95" spans="3:36" s="7" customFormat="1" ht="14.25" customHeight="1">
      <c r="C95" s="68"/>
      <c r="F95" s="90"/>
      <c r="J95" s="68"/>
      <c r="L95" s="89"/>
      <c r="AJ95" s="68"/>
    </row>
    <row r="96" spans="3:36" s="7" customFormat="1" ht="14.25" customHeight="1">
      <c r="C96" s="68"/>
      <c r="F96" s="90"/>
      <c r="J96" s="68"/>
      <c r="L96" s="89"/>
      <c r="AJ96" s="68"/>
    </row>
    <row r="97" spans="3:36" s="7" customFormat="1" ht="14.25" customHeight="1">
      <c r="C97" s="68"/>
      <c r="F97" s="90"/>
      <c r="J97" s="68"/>
      <c r="L97" s="89"/>
      <c r="AJ97" s="68"/>
    </row>
    <row r="98" spans="3:36" s="7" customFormat="1" ht="14.25" customHeight="1">
      <c r="C98" s="68"/>
      <c r="F98" s="90"/>
      <c r="J98" s="68"/>
      <c r="L98" s="89"/>
      <c r="AJ98" s="68"/>
    </row>
    <row r="99" spans="3:36" s="7" customFormat="1" ht="14.25" customHeight="1">
      <c r="C99" s="68"/>
      <c r="F99" s="90"/>
      <c r="J99" s="68"/>
      <c r="L99" s="89"/>
      <c r="AJ99" s="68"/>
    </row>
    <row r="100" spans="3:36" s="7" customFormat="1" ht="14.25" customHeight="1">
      <c r="C100" s="68"/>
      <c r="F100" s="90"/>
      <c r="J100" s="68"/>
      <c r="L100" s="89"/>
      <c r="AJ100" s="68"/>
    </row>
    <row r="101" spans="3:36" s="7" customFormat="1" ht="14.25" customHeight="1">
      <c r="C101" s="68"/>
      <c r="F101" s="90"/>
      <c r="J101" s="68"/>
      <c r="L101" s="89"/>
      <c r="AJ101" s="68"/>
    </row>
    <row r="102" spans="3:36" s="7" customFormat="1" ht="14.25" customHeight="1">
      <c r="C102" s="68"/>
      <c r="F102" s="90"/>
      <c r="J102" s="68"/>
      <c r="L102" s="89"/>
      <c r="AJ102" s="68"/>
    </row>
    <row r="103" spans="3:36" s="7" customFormat="1" ht="14.25" customHeight="1">
      <c r="C103" s="68"/>
      <c r="F103" s="90"/>
      <c r="J103" s="68"/>
      <c r="L103" s="89"/>
      <c r="AJ103" s="68"/>
    </row>
    <row r="104" spans="3:36" s="7" customFormat="1" ht="14.25" customHeight="1">
      <c r="C104" s="68"/>
      <c r="F104" s="90"/>
      <c r="J104" s="68"/>
      <c r="L104" s="89"/>
      <c r="AJ104" s="68"/>
    </row>
    <row r="105" spans="3:36" s="7" customFormat="1" ht="14.25" customHeight="1">
      <c r="C105" s="68"/>
      <c r="F105" s="90"/>
      <c r="J105" s="68"/>
      <c r="L105" s="89"/>
      <c r="AJ105" s="68"/>
    </row>
    <row r="106" spans="3:36" s="7" customFormat="1" ht="14.25" customHeight="1">
      <c r="C106" s="68"/>
      <c r="F106" s="90"/>
      <c r="J106" s="68"/>
      <c r="L106" s="89"/>
      <c r="AJ106" s="68"/>
    </row>
    <row r="107" spans="3:36" s="7" customFormat="1" ht="14.25" customHeight="1">
      <c r="C107" s="68"/>
      <c r="F107" s="90"/>
      <c r="J107" s="68"/>
      <c r="L107" s="89"/>
      <c r="AJ107" s="68"/>
    </row>
    <row r="108" spans="3:36" s="7" customFormat="1" ht="14.25" customHeight="1">
      <c r="C108" s="68"/>
      <c r="F108" s="90"/>
      <c r="J108" s="68"/>
      <c r="L108" s="89"/>
      <c r="AJ108" s="68"/>
    </row>
    <row r="109" spans="3:36" s="7" customFormat="1" ht="14.25" customHeight="1">
      <c r="C109" s="68"/>
      <c r="F109" s="90"/>
      <c r="J109" s="68"/>
      <c r="L109" s="89"/>
      <c r="AJ109" s="68"/>
    </row>
    <row r="110" spans="3:36" s="7" customFormat="1" ht="14.25" customHeight="1">
      <c r="C110" s="68"/>
      <c r="F110" s="90"/>
      <c r="J110" s="68"/>
      <c r="L110" s="89"/>
      <c r="AJ110" s="68"/>
    </row>
    <row r="111" spans="3:36" s="7" customFormat="1" ht="14.25" customHeight="1">
      <c r="C111" s="68"/>
      <c r="F111" s="90"/>
      <c r="J111" s="68"/>
      <c r="L111" s="89"/>
      <c r="AJ111" s="68"/>
    </row>
    <row r="112" spans="3:36" s="7" customFormat="1" ht="14.25" customHeight="1">
      <c r="C112" s="68"/>
      <c r="F112" s="90"/>
      <c r="J112" s="68"/>
      <c r="L112" s="89"/>
      <c r="AJ112" s="68"/>
    </row>
    <row r="113" spans="3:36" s="7" customFormat="1" ht="14.25" customHeight="1">
      <c r="C113" s="68"/>
      <c r="F113" s="90"/>
      <c r="J113" s="68"/>
      <c r="L113" s="89"/>
      <c r="AJ113" s="68"/>
    </row>
    <row r="114" spans="3:36" s="7" customFormat="1" ht="14.25" customHeight="1">
      <c r="C114" s="68"/>
      <c r="F114" s="90"/>
      <c r="J114" s="68"/>
      <c r="L114" s="89"/>
      <c r="AJ114" s="68"/>
    </row>
    <row r="115" spans="3:36" s="7" customFormat="1" ht="14.25" customHeight="1">
      <c r="C115" s="68"/>
      <c r="F115" s="90"/>
      <c r="J115" s="68"/>
      <c r="L115" s="89"/>
      <c r="AJ115" s="68"/>
    </row>
    <row r="116" spans="3:36" s="7" customFormat="1" ht="14.25" customHeight="1">
      <c r="C116" s="68"/>
      <c r="F116" s="90"/>
      <c r="J116" s="68"/>
      <c r="L116" s="89"/>
      <c r="AJ116" s="68"/>
    </row>
    <row r="117" spans="3:36" s="7" customFormat="1" ht="14.25" customHeight="1">
      <c r="C117" s="68"/>
      <c r="F117" s="90"/>
      <c r="J117" s="68"/>
      <c r="L117" s="89"/>
      <c r="AJ117" s="68"/>
    </row>
    <row r="118" spans="3:36" s="7" customFormat="1" ht="14.25" customHeight="1">
      <c r="C118" s="68"/>
      <c r="F118" s="90"/>
      <c r="J118" s="68"/>
      <c r="L118" s="89"/>
      <c r="AJ118" s="68"/>
    </row>
    <row r="119" spans="3:36" s="7" customFormat="1" ht="14.25" customHeight="1">
      <c r="C119" s="68"/>
      <c r="F119" s="90"/>
      <c r="J119" s="68"/>
      <c r="L119" s="89"/>
      <c r="AJ119" s="68"/>
    </row>
    <row r="120" spans="3:36" s="7" customFormat="1" ht="14.25" customHeight="1">
      <c r="C120" s="68"/>
      <c r="F120" s="90"/>
      <c r="J120" s="68"/>
      <c r="L120" s="89"/>
      <c r="AJ120" s="68"/>
    </row>
    <row r="121" spans="3:36" s="7" customFormat="1" ht="14.25" customHeight="1">
      <c r="C121" s="68"/>
      <c r="F121" s="90"/>
      <c r="J121" s="68"/>
      <c r="L121" s="89"/>
      <c r="AJ121" s="68"/>
    </row>
    <row r="122" spans="3:36" s="7" customFormat="1" ht="14.25" customHeight="1">
      <c r="C122" s="68"/>
      <c r="F122" s="90"/>
      <c r="J122" s="68"/>
      <c r="L122" s="89"/>
      <c r="AJ122" s="68"/>
    </row>
    <row r="123" spans="3:36" s="7" customFormat="1" ht="14.25" customHeight="1">
      <c r="C123" s="68"/>
      <c r="F123" s="90"/>
      <c r="J123" s="68"/>
      <c r="L123" s="89"/>
      <c r="AJ123" s="68"/>
    </row>
    <row r="124" spans="3:36" s="7" customFormat="1" ht="14.25" customHeight="1">
      <c r="C124" s="68"/>
      <c r="F124" s="90"/>
      <c r="J124" s="68"/>
      <c r="L124" s="89"/>
      <c r="AJ124" s="68"/>
    </row>
    <row r="125" spans="3:36" s="7" customFormat="1" ht="14.25" customHeight="1">
      <c r="C125" s="68"/>
      <c r="F125" s="90"/>
      <c r="J125" s="68"/>
      <c r="L125" s="89"/>
      <c r="AJ125" s="68"/>
    </row>
    <row r="126" spans="3:36" s="7" customFormat="1" ht="14.25" customHeight="1">
      <c r="C126" s="68"/>
      <c r="F126" s="90"/>
      <c r="J126" s="68"/>
      <c r="L126" s="89"/>
      <c r="AJ126" s="68"/>
    </row>
    <row r="127" spans="3:36" s="7" customFormat="1" ht="14.25" customHeight="1">
      <c r="C127" s="68"/>
      <c r="F127" s="90"/>
      <c r="J127" s="68"/>
      <c r="L127" s="89"/>
      <c r="AJ127" s="68"/>
    </row>
    <row r="128" spans="3:36" s="7" customFormat="1" ht="14.25" customHeight="1">
      <c r="C128" s="68"/>
      <c r="F128" s="90"/>
      <c r="J128" s="68"/>
      <c r="L128" s="89"/>
      <c r="AJ128" s="68"/>
    </row>
    <row r="129" spans="3:36" s="7" customFormat="1" ht="14.25" customHeight="1">
      <c r="C129" s="68"/>
      <c r="F129" s="90"/>
      <c r="J129" s="68"/>
      <c r="L129" s="89"/>
      <c r="AJ129" s="68"/>
    </row>
    <row r="130" spans="3:36" s="7" customFormat="1" ht="14.25" customHeight="1">
      <c r="C130" s="68"/>
      <c r="F130" s="90"/>
      <c r="J130" s="68"/>
      <c r="L130" s="89"/>
      <c r="AJ130" s="68"/>
    </row>
    <row r="131" spans="3:36" s="7" customFormat="1" ht="14.25" customHeight="1">
      <c r="C131" s="68"/>
      <c r="F131" s="90"/>
      <c r="J131" s="68"/>
      <c r="L131" s="89"/>
      <c r="AJ131" s="68"/>
    </row>
    <row r="132" spans="3:36" s="7" customFormat="1" ht="14.25" customHeight="1">
      <c r="C132" s="68"/>
      <c r="F132" s="90"/>
      <c r="J132" s="68"/>
      <c r="L132" s="89"/>
      <c r="AJ132" s="68"/>
    </row>
    <row r="133" spans="3:36" s="7" customFormat="1" ht="14.25" customHeight="1">
      <c r="C133" s="68"/>
      <c r="F133" s="90"/>
      <c r="J133" s="68"/>
      <c r="L133" s="89"/>
      <c r="AJ133" s="68"/>
    </row>
    <row r="134" spans="3:36" s="7" customFormat="1" ht="14.25" customHeight="1">
      <c r="C134" s="68"/>
      <c r="F134" s="90"/>
      <c r="J134" s="68"/>
      <c r="L134" s="89"/>
      <c r="AJ134" s="68"/>
    </row>
    <row r="135" spans="3:36" s="7" customFormat="1" ht="14.25" customHeight="1">
      <c r="C135" s="68"/>
      <c r="F135" s="90"/>
      <c r="J135" s="68"/>
      <c r="L135" s="89"/>
      <c r="AJ135" s="68"/>
    </row>
    <row r="136" spans="3:36" s="7" customFormat="1" ht="14.25" customHeight="1">
      <c r="C136" s="68"/>
      <c r="F136" s="90"/>
      <c r="J136" s="68"/>
      <c r="L136" s="89"/>
      <c r="AJ136" s="68"/>
    </row>
    <row r="137" spans="3:36" s="7" customFormat="1" ht="14.25" customHeight="1">
      <c r="C137" s="68"/>
      <c r="F137" s="90"/>
      <c r="J137" s="68"/>
      <c r="L137" s="89"/>
      <c r="AJ137" s="68"/>
    </row>
    <row r="138" spans="3:36" s="7" customFormat="1" ht="14.25" customHeight="1">
      <c r="C138" s="68"/>
      <c r="F138" s="90"/>
      <c r="J138" s="68"/>
      <c r="L138" s="89"/>
      <c r="AJ138" s="68"/>
    </row>
    <row r="139" spans="3:36" s="7" customFormat="1" ht="14.25" customHeight="1">
      <c r="C139" s="68"/>
      <c r="F139" s="90"/>
      <c r="J139" s="68"/>
      <c r="L139" s="89"/>
      <c r="AJ139" s="68"/>
    </row>
    <row r="140" spans="3:36" s="7" customFormat="1" ht="14.25" customHeight="1">
      <c r="C140" s="68"/>
      <c r="F140" s="90"/>
      <c r="J140" s="68"/>
      <c r="L140" s="89"/>
      <c r="AJ140" s="68"/>
    </row>
    <row r="141" spans="3:36" s="7" customFormat="1" ht="14.25" customHeight="1">
      <c r="C141" s="68"/>
      <c r="F141" s="90"/>
      <c r="J141" s="68"/>
      <c r="L141" s="89"/>
      <c r="AJ141" s="68"/>
    </row>
    <row r="142" spans="3:36" s="7" customFormat="1" ht="14.25" customHeight="1">
      <c r="C142" s="68"/>
      <c r="F142" s="90"/>
      <c r="J142" s="68"/>
      <c r="L142" s="89"/>
      <c r="AJ142" s="68"/>
    </row>
    <row r="143" spans="3:36" s="7" customFormat="1" ht="14.25" customHeight="1">
      <c r="C143" s="68"/>
      <c r="F143" s="90"/>
      <c r="J143" s="68"/>
      <c r="L143" s="89"/>
      <c r="AJ143" s="68"/>
    </row>
    <row r="144" spans="3:36" s="7" customFormat="1" ht="14.25" customHeight="1">
      <c r="C144" s="68"/>
      <c r="F144" s="90"/>
      <c r="J144" s="68"/>
      <c r="L144" s="89"/>
      <c r="AJ144" s="68"/>
    </row>
    <row r="145" spans="3:36" s="7" customFormat="1" ht="14.25" customHeight="1">
      <c r="C145" s="68"/>
      <c r="F145" s="90"/>
      <c r="J145" s="68"/>
      <c r="L145" s="89"/>
      <c r="AJ145" s="68"/>
    </row>
    <row r="146" spans="3:36" s="7" customFormat="1" ht="14.25" customHeight="1">
      <c r="C146" s="68"/>
      <c r="F146" s="90"/>
      <c r="J146" s="68"/>
      <c r="L146" s="89"/>
      <c r="AJ146" s="68"/>
    </row>
    <row r="147" spans="3:36" s="7" customFormat="1" ht="14.25" customHeight="1">
      <c r="C147" s="68"/>
      <c r="F147" s="90"/>
      <c r="J147" s="68"/>
      <c r="L147" s="89"/>
      <c r="AJ147" s="68"/>
    </row>
    <row r="148" spans="3:36" s="7" customFormat="1" ht="14.25" customHeight="1">
      <c r="C148" s="68"/>
      <c r="F148" s="90"/>
      <c r="J148" s="68"/>
      <c r="L148" s="89"/>
      <c r="AJ148" s="68"/>
    </row>
    <row r="149" spans="3:36" s="7" customFormat="1" ht="14.25" customHeight="1">
      <c r="C149" s="68"/>
      <c r="F149" s="90"/>
      <c r="J149" s="68"/>
      <c r="L149" s="89"/>
      <c r="AJ149" s="68"/>
    </row>
    <row r="150" spans="3:36" s="7" customFormat="1" ht="14.25" customHeight="1">
      <c r="C150" s="68"/>
      <c r="F150" s="90"/>
      <c r="J150" s="68"/>
      <c r="L150" s="89"/>
      <c r="AJ150" s="68"/>
    </row>
    <row r="151" spans="3:36" s="7" customFormat="1" ht="14.25" customHeight="1">
      <c r="C151" s="68"/>
      <c r="F151" s="90"/>
      <c r="J151" s="68"/>
      <c r="L151" s="89"/>
      <c r="AJ151" s="68"/>
    </row>
    <row r="152" spans="3:36" s="7" customFormat="1" ht="14.25" customHeight="1">
      <c r="C152" s="68"/>
      <c r="F152" s="90"/>
      <c r="J152" s="68"/>
      <c r="L152" s="89"/>
      <c r="AJ152" s="68"/>
    </row>
    <row r="153" spans="3:36" s="7" customFormat="1" ht="14.25" customHeight="1">
      <c r="C153" s="68"/>
      <c r="F153" s="90"/>
      <c r="J153" s="68"/>
      <c r="L153" s="89"/>
      <c r="AJ153" s="68"/>
    </row>
    <row r="154" spans="3:36" s="7" customFormat="1" ht="14.25" customHeight="1">
      <c r="C154" s="68"/>
      <c r="F154" s="90"/>
      <c r="J154" s="68"/>
      <c r="L154" s="89"/>
      <c r="AJ154" s="68"/>
    </row>
    <row r="155" spans="3:36" s="7" customFormat="1" ht="14.25" customHeight="1">
      <c r="C155" s="68"/>
      <c r="F155" s="90"/>
      <c r="J155" s="68"/>
      <c r="L155" s="89"/>
      <c r="AJ155" s="68"/>
    </row>
    <row r="156" spans="3:36" s="7" customFormat="1" ht="14.25" customHeight="1">
      <c r="C156" s="68"/>
      <c r="F156" s="90"/>
      <c r="J156" s="68"/>
      <c r="L156" s="89"/>
      <c r="AJ156" s="68"/>
    </row>
    <row r="157" spans="3:36" s="7" customFormat="1" ht="14.25" customHeight="1">
      <c r="C157" s="68"/>
      <c r="F157" s="90"/>
      <c r="J157" s="68"/>
      <c r="L157" s="89"/>
      <c r="AJ157" s="68"/>
    </row>
    <row r="158" spans="3:36" s="7" customFormat="1" ht="14.25" customHeight="1">
      <c r="C158" s="68"/>
      <c r="F158" s="90"/>
      <c r="J158" s="68"/>
      <c r="L158" s="89"/>
      <c r="AJ158" s="68"/>
    </row>
    <row r="159" spans="3:36" s="7" customFormat="1" ht="14.25" customHeight="1">
      <c r="C159" s="68"/>
      <c r="F159" s="90"/>
      <c r="J159" s="68"/>
      <c r="L159" s="89"/>
      <c r="AJ159" s="68"/>
    </row>
    <row r="160" spans="3:36" s="7" customFormat="1" ht="14.25" customHeight="1">
      <c r="C160" s="68"/>
      <c r="F160" s="90"/>
      <c r="J160" s="68"/>
      <c r="L160" s="89"/>
      <c r="AJ160" s="68"/>
    </row>
    <row r="161" spans="3:36" s="7" customFormat="1" ht="14.25" customHeight="1">
      <c r="C161" s="68"/>
      <c r="F161" s="90"/>
      <c r="J161" s="68"/>
      <c r="L161" s="89"/>
      <c r="AJ161" s="68"/>
    </row>
    <row r="162" spans="3:36" s="7" customFormat="1" ht="14.25" customHeight="1">
      <c r="C162" s="68"/>
      <c r="F162" s="90"/>
      <c r="J162" s="68"/>
      <c r="L162" s="89"/>
      <c r="AJ162" s="68"/>
    </row>
    <row r="163" spans="3:36" s="7" customFormat="1" ht="14.25" customHeight="1">
      <c r="C163" s="68"/>
      <c r="F163" s="90"/>
      <c r="J163" s="68"/>
      <c r="L163" s="89"/>
      <c r="AJ163" s="68"/>
    </row>
    <row r="164" spans="3:36" s="7" customFormat="1" ht="14.25" customHeight="1">
      <c r="C164" s="68"/>
      <c r="F164" s="90"/>
      <c r="J164" s="68"/>
      <c r="L164" s="89"/>
      <c r="AJ164" s="68"/>
    </row>
    <row r="165" spans="3:36" s="7" customFormat="1" ht="14.25" customHeight="1">
      <c r="C165" s="68"/>
      <c r="F165" s="90"/>
      <c r="J165" s="68"/>
      <c r="L165" s="89"/>
      <c r="AJ165" s="68"/>
    </row>
    <row r="166" spans="3:36" s="7" customFormat="1" ht="14.25" customHeight="1">
      <c r="C166" s="68"/>
      <c r="F166" s="90"/>
      <c r="J166" s="68"/>
      <c r="L166" s="89"/>
      <c r="AJ166" s="68"/>
    </row>
    <row r="167" spans="3:36" s="7" customFormat="1" ht="14.25" customHeight="1">
      <c r="C167" s="68"/>
      <c r="F167" s="90"/>
      <c r="J167" s="68"/>
      <c r="L167" s="89"/>
      <c r="AJ167" s="68"/>
    </row>
    <row r="168" spans="3:36" s="7" customFormat="1" ht="14.25" customHeight="1">
      <c r="C168" s="68"/>
      <c r="F168" s="90"/>
      <c r="J168" s="68"/>
      <c r="L168" s="89"/>
      <c r="AJ168" s="68"/>
    </row>
    <row r="169" spans="3:36" s="7" customFormat="1" ht="14.25" customHeight="1">
      <c r="C169" s="68"/>
      <c r="F169" s="90"/>
      <c r="J169" s="68"/>
      <c r="L169" s="89"/>
      <c r="AJ169" s="68"/>
    </row>
    <row r="170" spans="3:36" s="7" customFormat="1" ht="14.25" customHeight="1">
      <c r="C170" s="68"/>
      <c r="F170" s="90"/>
      <c r="J170" s="68"/>
      <c r="L170" s="89"/>
      <c r="AJ170" s="68"/>
    </row>
    <row r="171" spans="3:36" s="7" customFormat="1" ht="14.25" customHeight="1">
      <c r="C171" s="68"/>
      <c r="F171" s="90"/>
      <c r="J171" s="68"/>
      <c r="L171" s="89"/>
      <c r="AJ171" s="68"/>
    </row>
    <row r="172" spans="3:36" s="7" customFormat="1" ht="14.25" customHeight="1">
      <c r="C172" s="68"/>
      <c r="F172" s="90"/>
      <c r="J172" s="68"/>
      <c r="L172" s="89"/>
      <c r="AJ172" s="68"/>
    </row>
    <row r="173" spans="3:36" s="7" customFormat="1" ht="14.25" customHeight="1">
      <c r="C173" s="68"/>
      <c r="F173" s="90"/>
      <c r="J173" s="68"/>
      <c r="L173" s="89"/>
      <c r="AJ173" s="68"/>
    </row>
    <row r="174" spans="3:36" s="7" customFormat="1" ht="14.25" customHeight="1">
      <c r="C174" s="68"/>
      <c r="F174" s="90"/>
      <c r="J174" s="68"/>
      <c r="L174" s="89"/>
      <c r="AJ174" s="68"/>
    </row>
    <row r="175" spans="3:36" s="7" customFormat="1" ht="14.25" customHeight="1">
      <c r="C175" s="68"/>
      <c r="F175" s="90"/>
      <c r="J175" s="68"/>
      <c r="L175" s="89"/>
      <c r="AJ175" s="68"/>
    </row>
    <row r="176" spans="3:36" s="7" customFormat="1" ht="14.25" customHeight="1">
      <c r="C176" s="68"/>
      <c r="F176" s="90"/>
      <c r="J176" s="68"/>
      <c r="L176" s="89"/>
      <c r="AJ176" s="68"/>
    </row>
    <row r="177" spans="3:36" s="7" customFormat="1" ht="14.25" customHeight="1">
      <c r="C177" s="68"/>
      <c r="F177" s="90"/>
      <c r="J177" s="68"/>
      <c r="L177" s="89"/>
      <c r="AJ177" s="68"/>
    </row>
    <row r="178" spans="3:36" s="7" customFormat="1" ht="14.25" customHeight="1">
      <c r="C178" s="68"/>
      <c r="F178" s="90"/>
      <c r="J178" s="68"/>
      <c r="L178" s="89"/>
      <c r="AJ178" s="68"/>
    </row>
    <row r="179" spans="3:36" s="7" customFormat="1" ht="14.25" customHeight="1">
      <c r="C179" s="68"/>
      <c r="F179" s="90"/>
      <c r="J179" s="68"/>
      <c r="L179" s="89"/>
      <c r="AJ179" s="68"/>
    </row>
    <row r="180" spans="3:36" s="7" customFormat="1" ht="14.25" customHeight="1">
      <c r="C180" s="68"/>
      <c r="F180" s="90"/>
      <c r="J180" s="68"/>
      <c r="L180" s="89"/>
      <c r="AJ180" s="68"/>
    </row>
    <row r="181" spans="3:36" s="7" customFormat="1" ht="14.25" customHeight="1">
      <c r="C181" s="68"/>
      <c r="F181" s="90"/>
      <c r="J181" s="68"/>
      <c r="L181" s="89"/>
      <c r="AJ181" s="68"/>
    </row>
    <row r="182" spans="3:36" s="7" customFormat="1" ht="14.25" customHeight="1">
      <c r="C182" s="68"/>
      <c r="F182" s="90"/>
      <c r="J182" s="68"/>
      <c r="L182" s="89"/>
      <c r="AJ182" s="68"/>
    </row>
    <row r="183" spans="3:36" s="7" customFormat="1" ht="14.25" customHeight="1">
      <c r="C183" s="68"/>
      <c r="F183" s="90"/>
      <c r="J183" s="68"/>
      <c r="L183" s="89"/>
      <c r="AJ183" s="68"/>
    </row>
    <row r="184" spans="3:36" s="7" customFormat="1" ht="14.25" customHeight="1">
      <c r="C184" s="68"/>
      <c r="F184" s="90"/>
      <c r="J184" s="68"/>
      <c r="L184" s="89"/>
      <c r="AJ184" s="68"/>
    </row>
    <row r="185" spans="3:36" s="7" customFormat="1" ht="14.25" customHeight="1">
      <c r="C185" s="68"/>
      <c r="F185" s="90"/>
      <c r="J185" s="68"/>
      <c r="L185" s="89"/>
      <c r="AJ185" s="68"/>
    </row>
    <row r="186" spans="3:36" s="7" customFormat="1" ht="14.25" customHeight="1">
      <c r="C186" s="68"/>
      <c r="F186" s="90"/>
      <c r="J186" s="68"/>
      <c r="L186" s="89"/>
      <c r="AJ186" s="68"/>
    </row>
    <row r="187" spans="3:36" s="7" customFormat="1" ht="14.25" customHeight="1">
      <c r="C187" s="68"/>
      <c r="F187" s="90"/>
      <c r="J187" s="68"/>
      <c r="L187" s="89"/>
      <c r="AJ187" s="68"/>
    </row>
    <row r="188" spans="3:36" s="7" customFormat="1" ht="14.25" customHeight="1">
      <c r="C188" s="68"/>
      <c r="F188" s="90"/>
      <c r="J188" s="68"/>
      <c r="L188" s="89"/>
      <c r="AJ188" s="68"/>
    </row>
    <row r="189" spans="3:36" s="7" customFormat="1" ht="14.25" customHeight="1">
      <c r="C189" s="68"/>
      <c r="F189" s="90"/>
      <c r="J189" s="68"/>
      <c r="L189" s="89"/>
      <c r="AJ189" s="68"/>
    </row>
    <row r="190" spans="3:36" s="7" customFormat="1" ht="14.25" customHeight="1">
      <c r="C190" s="68"/>
      <c r="F190" s="90"/>
      <c r="J190" s="68"/>
      <c r="L190" s="89"/>
      <c r="AJ190" s="68"/>
    </row>
    <row r="191" spans="3:36" s="7" customFormat="1" ht="14.25" customHeight="1">
      <c r="C191" s="68"/>
      <c r="F191" s="90"/>
      <c r="J191" s="68"/>
      <c r="L191" s="89"/>
      <c r="AJ191" s="68"/>
    </row>
    <row r="192" spans="3:36" s="7" customFormat="1" ht="14.25" customHeight="1">
      <c r="C192" s="68"/>
      <c r="F192" s="90"/>
      <c r="J192" s="68"/>
      <c r="L192" s="89"/>
      <c r="AJ192" s="68"/>
    </row>
    <row r="193" spans="3:36" s="7" customFormat="1" ht="14.25" customHeight="1">
      <c r="C193" s="68"/>
      <c r="F193" s="90"/>
      <c r="J193" s="68"/>
      <c r="L193" s="89"/>
      <c r="AJ193" s="68"/>
    </row>
    <row r="194" spans="3:36" s="7" customFormat="1" ht="14.25" customHeight="1">
      <c r="C194" s="68"/>
      <c r="F194" s="90"/>
      <c r="J194" s="68"/>
      <c r="L194" s="89"/>
      <c r="AJ194" s="68"/>
    </row>
    <row r="195" spans="3:36" s="7" customFormat="1" ht="14.25" customHeight="1">
      <c r="C195" s="68"/>
      <c r="F195" s="90"/>
      <c r="J195" s="68"/>
      <c r="L195" s="89"/>
      <c r="AJ195" s="68"/>
    </row>
    <row r="196" spans="3:36" s="7" customFormat="1" ht="14.25" customHeight="1">
      <c r="C196" s="68"/>
      <c r="F196" s="90"/>
      <c r="J196" s="68"/>
      <c r="L196" s="89"/>
      <c r="AJ196" s="68"/>
    </row>
    <row r="197" spans="3:36" s="7" customFormat="1" ht="14.25" customHeight="1">
      <c r="C197" s="68"/>
      <c r="F197" s="90"/>
      <c r="J197" s="68"/>
      <c r="L197" s="89"/>
      <c r="AJ197" s="68"/>
    </row>
    <row r="198" spans="3:36" s="7" customFormat="1" ht="14.25" customHeight="1">
      <c r="C198" s="68"/>
      <c r="F198" s="90"/>
      <c r="J198" s="68"/>
      <c r="L198" s="89"/>
      <c r="AJ198" s="68"/>
    </row>
    <row r="199" spans="3:36" s="7" customFormat="1" ht="14.25" customHeight="1">
      <c r="C199" s="68"/>
      <c r="F199" s="90"/>
      <c r="J199" s="68"/>
      <c r="L199" s="89"/>
      <c r="AJ199" s="68"/>
    </row>
    <row r="200" spans="3:36" s="7" customFormat="1" ht="14.25" customHeight="1">
      <c r="C200" s="68"/>
      <c r="F200" s="90"/>
      <c r="J200" s="68"/>
      <c r="L200" s="89"/>
      <c r="AJ200" s="68"/>
    </row>
    <row r="201" spans="3:36" s="7" customFormat="1" ht="14.25" customHeight="1">
      <c r="C201" s="68"/>
      <c r="F201" s="90"/>
      <c r="J201" s="68"/>
      <c r="L201" s="89"/>
      <c r="AJ201" s="68"/>
    </row>
    <row r="202" spans="3:36" s="7" customFormat="1" ht="14.25" customHeight="1">
      <c r="C202" s="68"/>
      <c r="F202" s="90"/>
      <c r="J202" s="68"/>
      <c r="L202" s="89"/>
      <c r="AJ202" s="68"/>
    </row>
    <row r="203" spans="3:36" s="7" customFormat="1" ht="14.25" customHeight="1">
      <c r="C203" s="68"/>
      <c r="F203" s="90"/>
      <c r="J203" s="68"/>
      <c r="L203" s="89"/>
      <c r="AJ203" s="68"/>
    </row>
    <row r="204" spans="3:36" s="7" customFormat="1" ht="14.25" customHeight="1">
      <c r="C204" s="68"/>
      <c r="F204" s="90"/>
      <c r="J204" s="68"/>
      <c r="L204" s="89"/>
      <c r="AJ204" s="68"/>
    </row>
    <row r="205" spans="3:36" s="7" customFormat="1" ht="14.25" customHeight="1">
      <c r="C205" s="68"/>
      <c r="F205" s="90"/>
      <c r="J205" s="68"/>
      <c r="L205" s="89"/>
      <c r="AJ205" s="68"/>
    </row>
    <row r="206" spans="3:36" s="7" customFormat="1" ht="14.25" customHeight="1">
      <c r="C206" s="68"/>
      <c r="F206" s="90"/>
      <c r="J206" s="68"/>
      <c r="L206" s="89"/>
      <c r="AJ206" s="68"/>
    </row>
    <row r="207" spans="3:36" s="7" customFormat="1" ht="14.25" customHeight="1">
      <c r="C207" s="68"/>
      <c r="F207" s="90"/>
      <c r="J207" s="68"/>
      <c r="L207" s="89"/>
      <c r="AJ207" s="68"/>
    </row>
    <row r="208" spans="3:36" s="7" customFormat="1" ht="14.25" customHeight="1">
      <c r="C208" s="68"/>
      <c r="F208" s="90"/>
      <c r="J208" s="68"/>
      <c r="L208" s="89"/>
      <c r="AJ208" s="68"/>
    </row>
    <row r="209" spans="3:36" s="7" customFormat="1" ht="14.25" customHeight="1">
      <c r="C209" s="68"/>
      <c r="F209" s="90"/>
      <c r="J209" s="68"/>
      <c r="L209" s="89"/>
      <c r="AJ209" s="68"/>
    </row>
    <row r="210" spans="3:36" s="7" customFormat="1" ht="14.25" customHeight="1">
      <c r="C210" s="68"/>
      <c r="F210" s="90"/>
      <c r="J210" s="68"/>
      <c r="L210" s="89"/>
      <c r="AJ210" s="68"/>
    </row>
    <row r="211" spans="3:36" s="7" customFormat="1" ht="14.25" customHeight="1">
      <c r="C211" s="68"/>
      <c r="F211" s="90"/>
      <c r="J211" s="68"/>
      <c r="L211" s="89"/>
      <c r="AJ211" s="68"/>
    </row>
    <row r="212" spans="3:36" s="7" customFormat="1" ht="14.25" customHeight="1">
      <c r="C212" s="68"/>
      <c r="F212" s="90"/>
      <c r="J212" s="68"/>
      <c r="L212" s="89"/>
      <c r="AJ212" s="68"/>
    </row>
    <row r="213" spans="3:36" s="7" customFormat="1" ht="14.25" customHeight="1">
      <c r="C213" s="68"/>
      <c r="F213" s="90"/>
      <c r="J213" s="68"/>
      <c r="L213" s="89"/>
      <c r="AJ213" s="68"/>
    </row>
    <row r="214" spans="3:36" s="7" customFormat="1" ht="14.25" customHeight="1">
      <c r="C214" s="68"/>
      <c r="F214" s="90"/>
      <c r="J214" s="68"/>
      <c r="L214" s="89"/>
      <c r="AJ214" s="68"/>
    </row>
    <row r="215" spans="3:36" s="7" customFormat="1" ht="14.25" customHeight="1">
      <c r="C215" s="68"/>
      <c r="F215" s="90"/>
      <c r="J215" s="68"/>
      <c r="L215" s="89"/>
      <c r="AJ215" s="68"/>
    </row>
    <row r="216" spans="3:36" s="7" customFormat="1" ht="14.25" customHeight="1">
      <c r="C216" s="68"/>
      <c r="F216" s="90"/>
      <c r="J216" s="68"/>
      <c r="L216" s="89"/>
      <c r="AJ216" s="68"/>
    </row>
    <row r="217" spans="3:36" s="7" customFormat="1" ht="14.25" customHeight="1">
      <c r="C217" s="68"/>
      <c r="F217" s="90"/>
      <c r="J217" s="68"/>
      <c r="L217" s="89"/>
      <c r="AJ217" s="68"/>
    </row>
    <row r="218" spans="3:36" s="7" customFormat="1" ht="14.25" customHeight="1">
      <c r="C218" s="68"/>
      <c r="F218" s="90"/>
      <c r="J218" s="68"/>
      <c r="L218" s="89"/>
      <c r="AJ218" s="68"/>
    </row>
    <row r="219" spans="3:36" s="7" customFormat="1" ht="14.25" customHeight="1">
      <c r="C219" s="68"/>
      <c r="F219" s="90"/>
      <c r="J219" s="68"/>
      <c r="L219" s="89"/>
      <c r="AJ219" s="68"/>
    </row>
    <row r="220" spans="3:36" s="7" customFormat="1" ht="14.25" customHeight="1">
      <c r="C220" s="68"/>
      <c r="F220" s="90"/>
      <c r="J220" s="68"/>
      <c r="L220" s="89"/>
      <c r="AJ220" s="68"/>
    </row>
    <row r="221" spans="3:36" s="7" customFormat="1" ht="14.25" customHeight="1">
      <c r="C221" s="68"/>
      <c r="F221" s="90"/>
      <c r="J221" s="68"/>
      <c r="L221" s="89"/>
      <c r="AJ221" s="68"/>
    </row>
    <row r="222" spans="3:36" s="7" customFormat="1" ht="14.25" customHeight="1">
      <c r="C222" s="68"/>
      <c r="F222" s="90"/>
      <c r="J222" s="68"/>
      <c r="L222" s="89"/>
      <c r="AJ222" s="68"/>
    </row>
    <row r="223" spans="3:36" s="7" customFormat="1" ht="14.25" customHeight="1">
      <c r="C223" s="68"/>
      <c r="F223" s="90"/>
      <c r="J223" s="68"/>
      <c r="L223" s="89"/>
      <c r="AJ223" s="68"/>
    </row>
    <row r="224" spans="3:36" s="7" customFormat="1" ht="14.25" customHeight="1">
      <c r="C224" s="68"/>
      <c r="F224" s="90"/>
      <c r="J224" s="68"/>
      <c r="L224" s="89"/>
      <c r="AJ224" s="68"/>
    </row>
    <row r="225" spans="12:12" ht="14.25" customHeight="1">
      <c r="L225" s="89"/>
    </row>
    <row r="226" spans="12:12" ht="14.25" customHeight="1">
      <c r="L226" s="89"/>
    </row>
    <row r="227" spans="12:12" ht="14.25" customHeight="1">
      <c r="L227" s="89"/>
    </row>
    <row r="228" spans="12:12" ht="14.25" customHeight="1">
      <c r="L228" s="89"/>
    </row>
    <row r="229" spans="12:12" ht="14.25" customHeight="1">
      <c r="L229" s="89"/>
    </row>
    <row r="230" spans="12:12" ht="14.25" customHeight="1">
      <c r="L230" s="89"/>
    </row>
    <row r="231" spans="12:12" ht="14.25" customHeight="1">
      <c r="L231" s="89"/>
    </row>
    <row r="232" spans="12:12" ht="14.25" customHeight="1">
      <c r="L232" s="89"/>
    </row>
    <row r="233" spans="12:12" ht="14.25" customHeight="1">
      <c r="L233" s="89"/>
    </row>
    <row r="234" spans="12:12" ht="14.25" customHeight="1">
      <c r="L234" s="89"/>
    </row>
    <row r="235" spans="12:12" ht="14.25" customHeight="1">
      <c r="L235" s="89"/>
    </row>
    <row r="236" spans="12:12" ht="14.25" customHeight="1">
      <c r="L236" s="89"/>
    </row>
    <row r="237" spans="12:12" ht="14.25" customHeight="1">
      <c r="L237" s="89"/>
    </row>
    <row r="238" spans="12:12" ht="14.25" customHeight="1">
      <c r="L238" s="89"/>
    </row>
    <row r="239" spans="12:12" ht="14.25" customHeight="1">
      <c r="L239" s="89"/>
    </row>
    <row r="240" spans="12:12" ht="14.25" customHeight="1">
      <c r="L240" s="89"/>
    </row>
    <row r="241" spans="12:12" ht="14.25" customHeight="1">
      <c r="L241" s="89"/>
    </row>
    <row r="242" spans="12:12" ht="14.25" customHeight="1">
      <c r="L242" s="89"/>
    </row>
    <row r="243" spans="12:12" ht="14.25" customHeight="1">
      <c r="L243" s="89"/>
    </row>
    <row r="244" spans="12:12" ht="14.25" customHeight="1">
      <c r="L244" s="89"/>
    </row>
    <row r="245" spans="12:12" ht="14.25" customHeight="1">
      <c r="L245" s="89"/>
    </row>
    <row r="246" spans="12:12" ht="14.25" customHeight="1">
      <c r="L246" s="89"/>
    </row>
    <row r="247" spans="12:12" ht="14.25" customHeight="1">
      <c r="L247" s="89"/>
    </row>
    <row r="248" spans="12:12" ht="14.25" customHeight="1">
      <c r="L248" s="89"/>
    </row>
    <row r="249" spans="12:12" ht="14.25" customHeight="1">
      <c r="L249" s="89"/>
    </row>
    <row r="250" spans="12:12" ht="14.25" customHeight="1">
      <c r="L250" s="89"/>
    </row>
    <row r="251" spans="12:12" ht="14.25" customHeight="1">
      <c r="L251" s="89"/>
    </row>
    <row r="252" spans="12:12" ht="14.25" customHeight="1">
      <c r="L252" s="89"/>
    </row>
    <row r="253" spans="12:12" ht="14.25" customHeight="1">
      <c r="L253" s="89"/>
    </row>
    <row r="254" spans="12:12" ht="14.25" customHeight="1">
      <c r="L254" s="89"/>
    </row>
    <row r="255" spans="12:12" ht="14.25" customHeight="1">
      <c r="L255" s="89"/>
    </row>
    <row r="256" spans="12:12" ht="14.25" customHeight="1">
      <c r="L256" s="89"/>
    </row>
    <row r="257" spans="12:12" ht="14.25" customHeight="1">
      <c r="L257" s="89"/>
    </row>
    <row r="258" spans="12:12" ht="14.25" customHeight="1">
      <c r="L258" s="89"/>
    </row>
    <row r="259" spans="12:12" ht="14.25" customHeight="1">
      <c r="L259" s="89"/>
    </row>
    <row r="260" spans="12:12" ht="14.25" customHeight="1">
      <c r="L260" s="89"/>
    </row>
    <row r="261" spans="12:12" ht="14.25" customHeight="1">
      <c r="L261" s="89"/>
    </row>
    <row r="262" spans="12:12" ht="14.25" customHeight="1">
      <c r="L262" s="89"/>
    </row>
    <row r="263" spans="12:12" ht="14.25" customHeight="1">
      <c r="L263" s="89"/>
    </row>
    <row r="264" spans="12:12" ht="14.25" customHeight="1">
      <c r="L264" s="89"/>
    </row>
    <row r="265" spans="12:12" ht="14.25" customHeight="1">
      <c r="L265" s="89"/>
    </row>
    <row r="266" spans="12:12" ht="14.25" customHeight="1">
      <c r="L266" s="89"/>
    </row>
    <row r="267" spans="12:12" ht="14.25" customHeight="1">
      <c r="L267" s="89"/>
    </row>
    <row r="268" spans="12:12" ht="14.25" customHeight="1">
      <c r="L268" s="89"/>
    </row>
    <row r="269" spans="12:12" ht="14.25" customHeight="1">
      <c r="L269" s="89"/>
    </row>
    <row r="270" spans="12:12" ht="14.25" customHeight="1">
      <c r="L270" s="89"/>
    </row>
    <row r="271" spans="12:12" ht="14.25" customHeight="1">
      <c r="L271" s="89"/>
    </row>
    <row r="272" spans="12:12" ht="14.25" customHeight="1">
      <c r="L272" s="89"/>
    </row>
    <row r="273" spans="12:12" ht="14.25" customHeight="1">
      <c r="L273" s="89"/>
    </row>
    <row r="274" spans="12:12" ht="14.25" customHeight="1">
      <c r="L274" s="89"/>
    </row>
    <row r="275" spans="12:12" ht="14.25" customHeight="1">
      <c r="L275" s="89"/>
    </row>
    <row r="276" spans="12:12" ht="14.25" customHeight="1">
      <c r="L276" s="89"/>
    </row>
    <row r="277" spans="12:12" ht="14.25" customHeight="1">
      <c r="L277" s="89"/>
    </row>
    <row r="278" spans="12:12" ht="14.25" customHeight="1">
      <c r="L278" s="89"/>
    </row>
    <row r="279" spans="12:12" ht="14.25" customHeight="1">
      <c r="L279" s="89"/>
    </row>
    <row r="280" spans="12:12" ht="14.25" customHeight="1">
      <c r="L280" s="89"/>
    </row>
    <row r="281" spans="12:12" ht="14.25" customHeight="1">
      <c r="L281" s="89"/>
    </row>
    <row r="282" spans="12:12" ht="14.25" customHeight="1">
      <c r="L282" s="89"/>
    </row>
    <row r="283" spans="12:12" ht="14.25" customHeight="1">
      <c r="L283" s="89"/>
    </row>
    <row r="284" spans="12:12" ht="14.25" customHeight="1">
      <c r="L284" s="89"/>
    </row>
    <row r="285" spans="12:12" ht="14.25" customHeight="1">
      <c r="L285" s="89"/>
    </row>
    <row r="286" spans="12:12" ht="14.25" customHeight="1">
      <c r="L286" s="89"/>
    </row>
    <row r="287" spans="12:12" ht="14.25" customHeight="1">
      <c r="L287" s="89"/>
    </row>
    <row r="288" spans="12:12" ht="14.25" customHeight="1">
      <c r="L288" s="89"/>
    </row>
    <row r="289" spans="12:12" ht="14.25" customHeight="1">
      <c r="L289" s="89"/>
    </row>
    <row r="290" spans="12:12" ht="14.25" customHeight="1">
      <c r="L290" s="89"/>
    </row>
    <row r="291" spans="12:12" ht="14.25" customHeight="1">
      <c r="L291" s="89"/>
    </row>
    <row r="292" spans="12:12" ht="14.25" customHeight="1">
      <c r="L292" s="89"/>
    </row>
    <row r="293" spans="12:12" ht="14.25" customHeight="1">
      <c r="L293" s="89"/>
    </row>
    <row r="294" spans="12:12" ht="14.25" customHeight="1">
      <c r="L294" s="89"/>
    </row>
    <row r="295" spans="12:12" ht="14.25" customHeight="1">
      <c r="L295" s="89"/>
    </row>
    <row r="296" spans="12:12" ht="14.25" customHeight="1">
      <c r="L296" s="89"/>
    </row>
    <row r="297" spans="12:12" ht="14.25" customHeight="1">
      <c r="L297" s="89"/>
    </row>
    <row r="298" spans="12:12" ht="14.25" customHeight="1">
      <c r="L298" s="89"/>
    </row>
    <row r="299" spans="12:12" ht="14.25" customHeight="1">
      <c r="L299" s="89"/>
    </row>
    <row r="300" spans="12:12" ht="14.25" customHeight="1">
      <c r="L300" s="89"/>
    </row>
    <row r="301" spans="12:12" ht="14.25" customHeight="1">
      <c r="L301" s="89"/>
    </row>
    <row r="302" spans="12:12" ht="14.25" customHeight="1">
      <c r="L302" s="89"/>
    </row>
    <row r="303" spans="12:12" ht="14.25" customHeight="1">
      <c r="L303" s="89"/>
    </row>
    <row r="304" spans="12:12" ht="14.25" customHeight="1">
      <c r="L304" s="89"/>
    </row>
    <row r="305" spans="12:12" ht="14.25" customHeight="1">
      <c r="L305" s="89"/>
    </row>
    <row r="306" spans="12:12" ht="14.25" customHeight="1">
      <c r="L306" s="89"/>
    </row>
    <row r="307" spans="12:12" ht="14.25" customHeight="1">
      <c r="L307" s="89"/>
    </row>
    <row r="308" spans="12:12" ht="14.25" customHeight="1">
      <c r="L308" s="89"/>
    </row>
    <row r="309" spans="12:12" ht="14.25" customHeight="1">
      <c r="L309" s="89"/>
    </row>
    <row r="310" spans="12:12" ht="14.25" customHeight="1">
      <c r="L310" s="89"/>
    </row>
    <row r="311" spans="12:12" ht="14.25" customHeight="1">
      <c r="L311" s="89"/>
    </row>
    <row r="312" spans="12:12" ht="14.25" customHeight="1">
      <c r="L312" s="89"/>
    </row>
    <row r="313" spans="12:12" ht="14.25" customHeight="1">
      <c r="L313" s="89"/>
    </row>
    <row r="314" spans="12:12" ht="14.25" customHeight="1">
      <c r="L314" s="89"/>
    </row>
    <row r="315" spans="12:12" ht="14.25" customHeight="1">
      <c r="L315" s="89"/>
    </row>
    <row r="316" spans="12:12" ht="14.25" customHeight="1">
      <c r="L316" s="89"/>
    </row>
    <row r="317" spans="12:12" ht="14.25" customHeight="1">
      <c r="L317" s="89"/>
    </row>
    <row r="318" spans="12:12" ht="14.25" customHeight="1">
      <c r="L318" s="89"/>
    </row>
    <row r="319" spans="12:12" ht="14.25" customHeight="1">
      <c r="L319" s="89"/>
    </row>
    <row r="320" spans="12:12" ht="14.25" customHeight="1">
      <c r="L320" s="89"/>
    </row>
    <row r="321" spans="12:12" ht="14.25" customHeight="1">
      <c r="L321" s="89"/>
    </row>
    <row r="322" spans="12:12" ht="14.25" customHeight="1">
      <c r="L322" s="89"/>
    </row>
    <row r="323" spans="12:12" ht="14.25" customHeight="1">
      <c r="L323" s="89"/>
    </row>
    <row r="324" spans="12:12" ht="14.25" customHeight="1">
      <c r="L324" s="89"/>
    </row>
    <row r="325" spans="12:12" ht="14.25" customHeight="1">
      <c r="L325" s="89"/>
    </row>
    <row r="326" spans="12:12" ht="14.25" customHeight="1">
      <c r="L326" s="89"/>
    </row>
    <row r="327" spans="12:12" ht="14.25" customHeight="1">
      <c r="L327" s="89"/>
    </row>
    <row r="328" spans="12:12" ht="14.25" customHeight="1">
      <c r="L328" s="89"/>
    </row>
    <row r="329" spans="12:12" ht="14.25" customHeight="1">
      <c r="L329" s="89"/>
    </row>
    <row r="330" spans="12:12" ht="14.25" customHeight="1">
      <c r="L330" s="89"/>
    </row>
    <row r="331" spans="12:12" ht="14.25" customHeight="1">
      <c r="L331" s="89"/>
    </row>
    <row r="332" spans="12:12" ht="14.25" customHeight="1">
      <c r="L332" s="89"/>
    </row>
    <row r="333" spans="12:12" ht="14.25" customHeight="1">
      <c r="L333" s="89"/>
    </row>
    <row r="334" spans="12:12" ht="14.25" customHeight="1">
      <c r="L334" s="89"/>
    </row>
    <row r="335" spans="12:12" ht="14.25" customHeight="1">
      <c r="L335" s="89"/>
    </row>
    <row r="336" spans="12:12" ht="14.25" customHeight="1">
      <c r="L336" s="89"/>
    </row>
    <row r="337" spans="12:12" ht="14.25" customHeight="1">
      <c r="L337" s="89"/>
    </row>
    <row r="338" spans="12:12" ht="14.25" customHeight="1">
      <c r="L338" s="89"/>
    </row>
    <row r="339" spans="12:12" ht="14.25" customHeight="1">
      <c r="L339" s="89"/>
    </row>
    <row r="340" spans="12:12" ht="14.25" customHeight="1">
      <c r="L340" s="89"/>
    </row>
    <row r="341" spans="12:12" ht="14.25" customHeight="1">
      <c r="L341" s="89"/>
    </row>
    <row r="342" spans="12:12" ht="14.25" customHeight="1">
      <c r="L342" s="89"/>
    </row>
    <row r="343" spans="12:12" ht="14.25" customHeight="1">
      <c r="L343" s="89"/>
    </row>
    <row r="344" spans="12:12" ht="14.25" customHeight="1">
      <c r="L344" s="89"/>
    </row>
    <row r="345" spans="12:12" ht="14.25" customHeight="1">
      <c r="L345" s="89"/>
    </row>
    <row r="346" spans="12:12" ht="14.25" customHeight="1">
      <c r="L346" s="89"/>
    </row>
    <row r="347" spans="12:12" ht="14.25" customHeight="1">
      <c r="L347" s="89"/>
    </row>
    <row r="348" spans="12:12" ht="14.25" customHeight="1">
      <c r="L348" s="89"/>
    </row>
    <row r="349" spans="12:12" ht="14.25" customHeight="1">
      <c r="L349" s="89"/>
    </row>
    <row r="350" spans="12:12" ht="14.25" customHeight="1">
      <c r="L350" s="89"/>
    </row>
    <row r="351" spans="12:12" ht="14.25" customHeight="1">
      <c r="L351" s="89"/>
    </row>
    <row r="352" spans="12:12" ht="14.25" customHeight="1">
      <c r="L352" s="89"/>
    </row>
    <row r="353" spans="12:12" ht="14.25" customHeight="1">
      <c r="L353" s="89"/>
    </row>
    <row r="354" spans="12:12" ht="14.25" customHeight="1">
      <c r="L354" s="89"/>
    </row>
    <row r="355" spans="12:12" ht="14.25" customHeight="1">
      <c r="L355" s="89"/>
    </row>
    <row r="356" spans="12:12" ht="14.25" customHeight="1">
      <c r="L356" s="89"/>
    </row>
    <row r="357" spans="12:12" ht="14.25" customHeight="1">
      <c r="L357" s="89"/>
    </row>
    <row r="358" spans="12:12" ht="14.25" customHeight="1">
      <c r="L358" s="89"/>
    </row>
    <row r="359" spans="12:12" ht="14.25" customHeight="1">
      <c r="L359" s="89"/>
    </row>
    <row r="360" spans="12:12" ht="14.25" customHeight="1">
      <c r="L360" s="89"/>
    </row>
    <row r="361" spans="12:12" ht="14.25" customHeight="1">
      <c r="L361" s="89"/>
    </row>
    <row r="362" spans="12:12" ht="14.25" customHeight="1">
      <c r="L362" s="89"/>
    </row>
    <row r="363" spans="12:12" ht="14.25" customHeight="1">
      <c r="L363" s="89"/>
    </row>
    <row r="364" spans="12:12" ht="14.25" customHeight="1">
      <c r="L364" s="89"/>
    </row>
    <row r="365" spans="12:12" ht="14.25" customHeight="1">
      <c r="L365" s="89"/>
    </row>
    <row r="366" spans="12:12" ht="14.25" customHeight="1">
      <c r="L366" s="89"/>
    </row>
    <row r="367" spans="12:12" ht="14.25" customHeight="1">
      <c r="L367" s="89"/>
    </row>
    <row r="368" spans="12:12" ht="14.25" customHeight="1">
      <c r="L368" s="89"/>
    </row>
    <row r="369" spans="12:12" ht="14.25" customHeight="1">
      <c r="L369" s="89"/>
    </row>
    <row r="370" spans="12:12" ht="14.25" customHeight="1">
      <c r="L370" s="89"/>
    </row>
    <row r="371" spans="12:12" ht="14.25" customHeight="1">
      <c r="L371" s="89"/>
    </row>
    <row r="372" spans="12:12" ht="14.25" customHeight="1">
      <c r="L372" s="89"/>
    </row>
    <row r="373" spans="12:12" ht="14.25" customHeight="1">
      <c r="L373" s="89"/>
    </row>
    <row r="374" spans="12:12" ht="14.25" customHeight="1">
      <c r="L374" s="89"/>
    </row>
    <row r="375" spans="12:12" ht="14.25" customHeight="1">
      <c r="L375" s="89"/>
    </row>
    <row r="376" spans="12:12" ht="14.25" customHeight="1">
      <c r="L376" s="89"/>
    </row>
    <row r="377" spans="12:12" ht="14.25" customHeight="1">
      <c r="L377" s="89"/>
    </row>
    <row r="378" spans="12:12" ht="14.25" customHeight="1">
      <c r="L378" s="89"/>
    </row>
    <row r="379" spans="12:12" ht="14.25" customHeight="1">
      <c r="L379" s="89"/>
    </row>
    <row r="380" spans="12:12" ht="14.25" customHeight="1">
      <c r="L380" s="89"/>
    </row>
    <row r="381" spans="12:12" ht="14.25" customHeight="1">
      <c r="L381" s="89"/>
    </row>
    <row r="382" spans="12:12" ht="14.25" customHeight="1">
      <c r="L382" s="89"/>
    </row>
    <row r="383" spans="12:12" ht="14.25" customHeight="1">
      <c r="L383" s="89"/>
    </row>
    <row r="384" spans="12:12" ht="14.25" customHeight="1">
      <c r="L384" s="89"/>
    </row>
    <row r="385" spans="12:12" ht="14.25" customHeight="1">
      <c r="L385" s="89"/>
    </row>
    <row r="386" spans="12:12" ht="14.25" customHeight="1">
      <c r="L386" s="89"/>
    </row>
    <row r="387" spans="12:12" ht="14.25" customHeight="1">
      <c r="L387" s="89"/>
    </row>
    <row r="388" spans="12:12" ht="14.25" customHeight="1">
      <c r="L388" s="89"/>
    </row>
    <row r="389" spans="12:12" ht="14.25" customHeight="1">
      <c r="L389" s="89"/>
    </row>
    <row r="390" spans="12:12" ht="14.25" customHeight="1">
      <c r="L390" s="89"/>
    </row>
    <row r="391" spans="12:12" ht="14.25" customHeight="1">
      <c r="L391" s="89"/>
    </row>
    <row r="392" spans="12:12" ht="14.25" customHeight="1">
      <c r="L392" s="89"/>
    </row>
    <row r="393" spans="12:12" ht="14.25" customHeight="1">
      <c r="L393" s="89"/>
    </row>
    <row r="394" spans="12:12" ht="14.25" customHeight="1">
      <c r="L394" s="89"/>
    </row>
    <row r="395" spans="12:12" ht="14.25" customHeight="1">
      <c r="L395" s="89"/>
    </row>
    <row r="396" spans="12:12" ht="14.25" customHeight="1">
      <c r="L396" s="89"/>
    </row>
    <row r="397" spans="12:12" ht="14.25" customHeight="1">
      <c r="L397" s="89"/>
    </row>
    <row r="398" spans="12:12" ht="14.25" customHeight="1">
      <c r="L398" s="89"/>
    </row>
    <row r="399" spans="12:12" ht="14.25" customHeight="1">
      <c r="L399" s="89"/>
    </row>
    <row r="400" spans="12:12" ht="14.25" customHeight="1">
      <c r="L400" s="89"/>
    </row>
    <row r="401" spans="12:12" ht="14.25" customHeight="1">
      <c r="L401" s="89"/>
    </row>
    <row r="402" spans="12:12" ht="14.25" customHeight="1">
      <c r="L402" s="89"/>
    </row>
    <row r="403" spans="12:12" ht="14.25" customHeight="1">
      <c r="L403" s="89"/>
    </row>
    <row r="404" spans="12:12" ht="14.25" customHeight="1">
      <c r="L404" s="89"/>
    </row>
    <row r="405" spans="12:12" ht="14.25" customHeight="1">
      <c r="L405" s="89"/>
    </row>
    <row r="406" spans="12:12" ht="14.25" customHeight="1">
      <c r="L406" s="89"/>
    </row>
    <row r="407" spans="12:12" ht="14.25" customHeight="1">
      <c r="L407" s="89"/>
    </row>
    <row r="408" spans="12:12" ht="14.25" customHeight="1">
      <c r="L408" s="89"/>
    </row>
    <row r="409" spans="12:12" ht="14.25" customHeight="1">
      <c r="L409" s="89"/>
    </row>
    <row r="410" spans="12:12" ht="14.25" customHeight="1">
      <c r="L410" s="89"/>
    </row>
    <row r="411" spans="12:12" ht="14.25" customHeight="1">
      <c r="L411" s="89"/>
    </row>
    <row r="412" spans="12:12" ht="14.25" customHeight="1">
      <c r="L412" s="89"/>
    </row>
    <row r="413" spans="12:12" ht="14.25" customHeight="1">
      <c r="L413" s="89"/>
    </row>
    <row r="414" spans="12:12" ht="14.25" customHeight="1">
      <c r="L414" s="89"/>
    </row>
    <row r="415" spans="12:12" ht="14.25" customHeight="1">
      <c r="L415" s="89"/>
    </row>
    <row r="416" spans="12:12" ht="14.25" customHeight="1">
      <c r="L416" s="89"/>
    </row>
    <row r="417" spans="12:12" ht="14.25" customHeight="1">
      <c r="L417" s="89"/>
    </row>
    <row r="418" spans="12:12" ht="14.25" customHeight="1">
      <c r="L418" s="89"/>
    </row>
    <row r="419" spans="12:12" ht="14.25" customHeight="1">
      <c r="L419" s="89"/>
    </row>
    <row r="420" spans="12:12" ht="14.25" customHeight="1">
      <c r="L420" s="89"/>
    </row>
    <row r="421" spans="12:12" ht="14.25" customHeight="1">
      <c r="L421" s="89"/>
    </row>
    <row r="422" spans="12:12" ht="14.25" customHeight="1">
      <c r="L422" s="89"/>
    </row>
    <row r="423" spans="12:12" ht="14.25" customHeight="1">
      <c r="L423" s="89"/>
    </row>
    <row r="424" spans="12:12" ht="14.25" customHeight="1">
      <c r="L424" s="89"/>
    </row>
    <row r="425" spans="12:12" ht="14.25" customHeight="1">
      <c r="L425" s="89"/>
    </row>
    <row r="426" spans="12:12" ht="14.25" customHeight="1">
      <c r="L426" s="89"/>
    </row>
    <row r="427" spans="12:12" ht="14.25" customHeight="1">
      <c r="L427" s="89"/>
    </row>
    <row r="428" spans="12:12" ht="14.25" customHeight="1">
      <c r="L428" s="89"/>
    </row>
    <row r="429" spans="12:12" ht="14.25" customHeight="1">
      <c r="L429" s="89"/>
    </row>
    <row r="430" spans="12:12" ht="14.25" customHeight="1">
      <c r="L430" s="89"/>
    </row>
    <row r="431" spans="12:12" ht="14.25" customHeight="1">
      <c r="L431" s="89"/>
    </row>
    <row r="432" spans="12:12" ht="14.25" customHeight="1">
      <c r="L432" s="89"/>
    </row>
    <row r="433" spans="12:12" ht="14.25" customHeight="1">
      <c r="L433" s="89"/>
    </row>
    <row r="434" spans="12:12" ht="14.25" customHeight="1">
      <c r="L434" s="89"/>
    </row>
    <row r="435" spans="12:12" ht="14.25" customHeight="1">
      <c r="L435" s="89"/>
    </row>
    <row r="436" spans="12:12" ht="14.25" customHeight="1">
      <c r="L436" s="89"/>
    </row>
    <row r="437" spans="12:12" ht="14.25" customHeight="1">
      <c r="L437" s="89"/>
    </row>
    <row r="438" spans="12:12" ht="14.25" customHeight="1">
      <c r="L438" s="89"/>
    </row>
    <row r="439" spans="12:12" ht="14.25" customHeight="1">
      <c r="L439" s="89"/>
    </row>
    <row r="440" spans="12:12" ht="14.25" customHeight="1">
      <c r="L440" s="89"/>
    </row>
    <row r="441" spans="12:12" ht="14.25" customHeight="1">
      <c r="L441" s="89"/>
    </row>
    <row r="442" spans="12:12" ht="14.25" customHeight="1">
      <c r="L442" s="89"/>
    </row>
    <row r="443" spans="12:12" ht="14.25" customHeight="1">
      <c r="L443" s="89"/>
    </row>
    <row r="444" spans="12:12" ht="14.25" customHeight="1">
      <c r="L444" s="89"/>
    </row>
    <row r="445" spans="12:12" ht="14.25" customHeight="1">
      <c r="L445" s="89"/>
    </row>
    <row r="446" spans="12:12" ht="14.25" customHeight="1">
      <c r="L446" s="89"/>
    </row>
    <row r="447" spans="12:12" ht="14.25" customHeight="1">
      <c r="L447" s="89"/>
    </row>
    <row r="448" spans="12:12" ht="14.25" customHeight="1">
      <c r="L448" s="89"/>
    </row>
    <row r="449" spans="12:12" ht="14.25" customHeight="1">
      <c r="L449" s="89"/>
    </row>
    <row r="450" spans="12:12" ht="14.25" customHeight="1">
      <c r="L450" s="89"/>
    </row>
    <row r="451" spans="12:12" ht="14.25" customHeight="1">
      <c r="L451" s="89"/>
    </row>
    <row r="452" spans="12:12" ht="14.25" customHeight="1">
      <c r="L452" s="89"/>
    </row>
    <row r="453" spans="12:12" ht="14.25" customHeight="1">
      <c r="L453" s="89"/>
    </row>
    <row r="454" spans="12:12" ht="14.25" customHeight="1">
      <c r="L454" s="89"/>
    </row>
    <row r="455" spans="12:12" ht="14.25" customHeight="1">
      <c r="L455" s="89"/>
    </row>
    <row r="456" spans="12:12" ht="14.25" customHeight="1">
      <c r="L456" s="89"/>
    </row>
    <row r="457" spans="12:12" ht="14.25" customHeight="1">
      <c r="L457" s="89"/>
    </row>
    <row r="458" spans="12:12" ht="14.25" customHeight="1">
      <c r="L458" s="89"/>
    </row>
    <row r="459" spans="12:12" ht="14.25" customHeight="1">
      <c r="L459" s="89"/>
    </row>
    <row r="460" spans="12:12" ht="14.25" customHeight="1">
      <c r="L460" s="89"/>
    </row>
    <row r="461" spans="12:12" ht="14.25" customHeight="1">
      <c r="L461" s="89"/>
    </row>
    <row r="462" spans="12:12" ht="14.25" customHeight="1">
      <c r="L462" s="89"/>
    </row>
    <row r="463" spans="12:12" ht="14.25" customHeight="1">
      <c r="L463" s="89"/>
    </row>
    <row r="464" spans="12:12" ht="14.25" customHeight="1">
      <c r="L464" s="89"/>
    </row>
    <row r="465" spans="12:12" ht="14.25" customHeight="1">
      <c r="L465" s="89"/>
    </row>
    <row r="466" spans="12:12" ht="14.25" customHeight="1">
      <c r="L466" s="89"/>
    </row>
    <row r="467" spans="12:12" ht="14.25" customHeight="1">
      <c r="L467" s="89"/>
    </row>
    <row r="468" spans="12:12" ht="14.25" customHeight="1">
      <c r="L468" s="89"/>
    </row>
    <row r="469" spans="12:12" ht="14.25" customHeight="1">
      <c r="L469" s="89"/>
    </row>
    <row r="470" spans="12:12" ht="14.25" customHeight="1">
      <c r="L470" s="89"/>
    </row>
    <row r="471" spans="12:12" ht="14.25" customHeight="1">
      <c r="L471" s="89"/>
    </row>
    <row r="472" spans="12:12" ht="14.25" customHeight="1">
      <c r="L472" s="89"/>
    </row>
    <row r="473" spans="12:12" ht="14.25" customHeight="1">
      <c r="L473" s="89"/>
    </row>
    <row r="474" spans="12:12" ht="14.25" customHeight="1">
      <c r="L474" s="89"/>
    </row>
    <row r="475" spans="12:12" ht="14.25" customHeight="1">
      <c r="L475" s="89"/>
    </row>
    <row r="476" spans="12:12" ht="14.25" customHeight="1">
      <c r="L476" s="89"/>
    </row>
    <row r="477" spans="12:12" ht="14.25" customHeight="1">
      <c r="L477" s="89"/>
    </row>
    <row r="478" spans="12:12" ht="14.25" customHeight="1">
      <c r="L478" s="89"/>
    </row>
    <row r="479" spans="12:12" ht="14.25" customHeight="1">
      <c r="L479" s="89"/>
    </row>
    <row r="480" spans="12:12" ht="14.25" customHeight="1">
      <c r="L480" s="89"/>
    </row>
    <row r="481" spans="12:12" ht="14.25" customHeight="1">
      <c r="L481" s="89"/>
    </row>
    <row r="482" spans="12:12" ht="14.25" customHeight="1">
      <c r="L482" s="89"/>
    </row>
    <row r="483" spans="12:12" ht="14.25" customHeight="1">
      <c r="L483" s="89"/>
    </row>
    <row r="484" spans="12:12" ht="14.25" customHeight="1">
      <c r="L484" s="89"/>
    </row>
    <row r="485" spans="12:12" ht="14.25" customHeight="1">
      <c r="L485" s="89"/>
    </row>
    <row r="486" spans="12:12" ht="14.25" customHeight="1">
      <c r="L486" s="89"/>
    </row>
    <row r="487" spans="12:12" ht="14.25" customHeight="1">
      <c r="L487" s="89"/>
    </row>
    <row r="488" spans="12:12" ht="14.25" customHeight="1">
      <c r="L488" s="89"/>
    </row>
    <row r="489" spans="12:12" ht="14.25" customHeight="1">
      <c r="L489" s="89"/>
    </row>
    <row r="490" spans="12:12" ht="14.25" customHeight="1">
      <c r="L490" s="89"/>
    </row>
    <row r="491" spans="12:12" ht="14.25" customHeight="1">
      <c r="L491" s="89"/>
    </row>
    <row r="492" spans="12:12" ht="14.25" customHeight="1">
      <c r="L492" s="89"/>
    </row>
    <row r="493" spans="12:12" ht="14.25" customHeight="1">
      <c r="L493" s="89"/>
    </row>
    <row r="494" spans="12:12" ht="14.25" customHeight="1">
      <c r="L494" s="89"/>
    </row>
    <row r="495" spans="12:12" ht="14.25" customHeight="1">
      <c r="L495" s="89"/>
    </row>
    <row r="496" spans="12:12" ht="14.25" customHeight="1">
      <c r="L496" s="89"/>
    </row>
    <row r="497" spans="12:12" ht="14.25" customHeight="1">
      <c r="L497" s="89"/>
    </row>
    <row r="498" spans="12:12" ht="14.25" customHeight="1">
      <c r="L498" s="89"/>
    </row>
    <row r="499" spans="12:12" ht="14.25" customHeight="1">
      <c r="L499" s="89"/>
    </row>
    <row r="500" spans="12:12" ht="14.25" customHeight="1">
      <c r="L500" s="89"/>
    </row>
    <row r="501" spans="12:12" ht="14.25" customHeight="1">
      <c r="L501" s="89"/>
    </row>
    <row r="502" spans="12:12" ht="14.25" customHeight="1">
      <c r="L502" s="89"/>
    </row>
    <row r="503" spans="12:12" ht="14.25" customHeight="1">
      <c r="L503" s="89"/>
    </row>
    <row r="504" spans="12:12" ht="14.25" customHeight="1">
      <c r="L504" s="89"/>
    </row>
    <row r="505" spans="12:12" ht="14.25" customHeight="1">
      <c r="L505" s="89"/>
    </row>
    <row r="506" spans="12:12" ht="14.25" customHeight="1">
      <c r="L506" s="89"/>
    </row>
    <row r="507" spans="12:12" ht="14.25" customHeight="1">
      <c r="L507" s="89"/>
    </row>
    <row r="508" spans="12:12" ht="14.25" customHeight="1">
      <c r="L508" s="89"/>
    </row>
    <row r="509" spans="12:12" ht="14.25" customHeight="1">
      <c r="L509" s="89"/>
    </row>
    <row r="510" spans="12:12" ht="14.25" customHeight="1">
      <c r="L510" s="89"/>
    </row>
    <row r="511" spans="12:12" ht="14.25" customHeight="1">
      <c r="L511" s="89"/>
    </row>
    <row r="512" spans="12:12" ht="14.25" customHeight="1">
      <c r="L512" s="89"/>
    </row>
    <row r="513" spans="12:12" ht="14.25" customHeight="1">
      <c r="L513" s="89"/>
    </row>
    <row r="514" spans="12:12" ht="14.25" customHeight="1">
      <c r="L514" s="89"/>
    </row>
    <row r="515" spans="12:12" ht="14.25" customHeight="1">
      <c r="L515" s="89"/>
    </row>
    <row r="516" spans="12:12" ht="14.25" customHeight="1">
      <c r="L516" s="89"/>
    </row>
    <row r="517" spans="12:12" ht="14.25" customHeight="1">
      <c r="L517" s="89"/>
    </row>
    <row r="518" spans="12:12" ht="14.25" customHeight="1">
      <c r="L518" s="89"/>
    </row>
    <row r="519" spans="12:12" ht="14.25" customHeight="1">
      <c r="L519" s="89"/>
    </row>
    <row r="520" spans="12:12" ht="14.25" customHeight="1">
      <c r="L520" s="89"/>
    </row>
    <row r="521" spans="12:12" ht="14.25" customHeight="1">
      <c r="L521" s="89"/>
    </row>
    <row r="522" spans="12:12" ht="14.25" customHeight="1">
      <c r="L522" s="89"/>
    </row>
    <row r="523" spans="12:12" ht="14.25" customHeight="1">
      <c r="L523" s="89"/>
    </row>
    <row r="524" spans="12:12" ht="14.25" customHeight="1">
      <c r="L524" s="89"/>
    </row>
    <row r="525" spans="12:12" ht="14.25" customHeight="1">
      <c r="L525" s="89"/>
    </row>
    <row r="526" spans="12:12" ht="14.25" customHeight="1">
      <c r="L526" s="89"/>
    </row>
    <row r="527" spans="12:12" ht="14.25" customHeight="1">
      <c r="L527" s="89"/>
    </row>
    <row r="528" spans="12:12" ht="14.25" customHeight="1">
      <c r="L528" s="89"/>
    </row>
    <row r="529" spans="12:12" ht="14.25" customHeight="1">
      <c r="L529" s="89"/>
    </row>
    <row r="530" spans="12:12" ht="14.25" customHeight="1">
      <c r="L530" s="89"/>
    </row>
    <row r="531" spans="12:12" ht="14.25" customHeight="1">
      <c r="L531" s="89"/>
    </row>
    <row r="532" spans="12:12" ht="14.25" customHeight="1">
      <c r="L532" s="89"/>
    </row>
    <row r="533" spans="12:12" ht="14.25" customHeight="1">
      <c r="L533" s="89"/>
    </row>
    <row r="534" spans="12:12" ht="14.25" customHeight="1">
      <c r="L534" s="89"/>
    </row>
    <row r="535" spans="12:12" ht="14.25" customHeight="1">
      <c r="L535" s="89"/>
    </row>
    <row r="536" spans="12:12" ht="14.25" customHeight="1">
      <c r="L536" s="89"/>
    </row>
    <row r="537" spans="12:12" ht="14.25" customHeight="1">
      <c r="L537" s="89"/>
    </row>
    <row r="538" spans="12:12" ht="14.25" customHeight="1">
      <c r="L538" s="89"/>
    </row>
    <row r="539" spans="12:12" ht="14.25" customHeight="1">
      <c r="L539" s="89"/>
    </row>
    <row r="540" spans="12:12" ht="14.25" customHeight="1">
      <c r="L540" s="89"/>
    </row>
    <row r="541" spans="12:12" ht="14.25" customHeight="1">
      <c r="L541" s="89"/>
    </row>
    <row r="542" spans="12:12" ht="14.25" customHeight="1">
      <c r="L542" s="89"/>
    </row>
    <row r="543" spans="12:12" ht="14.25" customHeight="1">
      <c r="L543" s="89"/>
    </row>
    <row r="544" spans="12:12" ht="14.25" customHeight="1">
      <c r="L544" s="89"/>
    </row>
    <row r="545" spans="12:12" ht="14.25" customHeight="1">
      <c r="L545" s="89"/>
    </row>
    <row r="546" spans="12:12" ht="14.25" customHeight="1">
      <c r="L546" s="89"/>
    </row>
    <row r="547" spans="12:12" ht="14.25" customHeight="1">
      <c r="L547" s="89"/>
    </row>
    <row r="548" spans="12:12" ht="14.25" customHeight="1">
      <c r="L548" s="89"/>
    </row>
    <row r="549" spans="12:12" ht="14.25" customHeight="1">
      <c r="L549" s="89"/>
    </row>
    <row r="550" spans="12:12" ht="14.25" customHeight="1">
      <c r="L550" s="89"/>
    </row>
    <row r="551" spans="12:12" ht="14.25" customHeight="1">
      <c r="L551" s="89"/>
    </row>
    <row r="552" spans="12:12" ht="14.25" customHeight="1">
      <c r="L552" s="89"/>
    </row>
    <row r="553" spans="12:12" ht="14.25" customHeight="1">
      <c r="L553" s="89"/>
    </row>
    <row r="554" spans="12:12" ht="14.25" customHeight="1">
      <c r="L554" s="89"/>
    </row>
    <row r="555" spans="12:12" ht="14.25" customHeight="1">
      <c r="L555" s="89"/>
    </row>
    <row r="556" spans="12:12" ht="14.25" customHeight="1">
      <c r="L556" s="89"/>
    </row>
    <row r="557" spans="12:12" ht="14.25" customHeight="1">
      <c r="L557" s="89"/>
    </row>
    <row r="558" spans="12:12" ht="14.25" customHeight="1">
      <c r="L558" s="89"/>
    </row>
    <row r="559" spans="12:12" ht="14.25" customHeight="1">
      <c r="L559" s="89"/>
    </row>
    <row r="560" spans="12:12" ht="14.25" customHeight="1">
      <c r="L560" s="89"/>
    </row>
    <row r="561" spans="12:12" ht="14.25" customHeight="1">
      <c r="L561" s="89"/>
    </row>
    <row r="562" spans="12:12" ht="14.25" customHeight="1">
      <c r="L562" s="89"/>
    </row>
    <row r="563" spans="12:12" ht="14.25" customHeight="1">
      <c r="L563" s="89"/>
    </row>
    <row r="564" spans="12:12" ht="14.25" customHeight="1">
      <c r="L564" s="89"/>
    </row>
    <row r="565" spans="12:12" ht="14.25" customHeight="1">
      <c r="L565" s="89"/>
    </row>
    <row r="566" spans="12:12" ht="14.25" customHeight="1">
      <c r="L566" s="89"/>
    </row>
    <row r="567" spans="12:12" ht="14.25" customHeight="1">
      <c r="L567" s="89"/>
    </row>
    <row r="568" spans="12:12" ht="14.25" customHeight="1">
      <c r="L568" s="89"/>
    </row>
    <row r="569" spans="12:12" ht="14.25" customHeight="1">
      <c r="L569" s="89"/>
    </row>
    <row r="570" spans="12:12" ht="14.25" customHeight="1">
      <c r="L570" s="89"/>
    </row>
    <row r="571" spans="12:12" ht="14.25" customHeight="1">
      <c r="L571" s="89"/>
    </row>
    <row r="572" spans="12:12" ht="14.25" customHeight="1">
      <c r="L572" s="89"/>
    </row>
    <row r="573" spans="12:12" ht="14.25" customHeight="1">
      <c r="L573" s="89"/>
    </row>
    <row r="574" spans="12:12" ht="14.25" customHeight="1">
      <c r="L574" s="89"/>
    </row>
    <row r="575" spans="12:12" ht="14.25" customHeight="1">
      <c r="L575" s="89"/>
    </row>
    <row r="576" spans="12:12" ht="14.25" customHeight="1">
      <c r="L576" s="89"/>
    </row>
    <row r="577" spans="12:12" ht="14.25" customHeight="1">
      <c r="L577" s="89"/>
    </row>
    <row r="578" spans="12:12" ht="14.25" customHeight="1">
      <c r="L578" s="89"/>
    </row>
    <row r="579" spans="12:12" ht="14.25" customHeight="1">
      <c r="L579" s="89"/>
    </row>
    <row r="580" spans="12:12" ht="14.25" customHeight="1">
      <c r="L580" s="89"/>
    </row>
    <row r="581" spans="12:12" ht="14.25" customHeight="1">
      <c r="L581" s="89"/>
    </row>
    <row r="582" spans="12:12" ht="14.25" customHeight="1">
      <c r="L582" s="89"/>
    </row>
    <row r="583" spans="12:12" ht="14.25" customHeight="1">
      <c r="L583" s="89"/>
    </row>
    <row r="584" spans="12:12" ht="14.25" customHeight="1">
      <c r="L584" s="89"/>
    </row>
    <row r="585" spans="12:12" ht="14.25" customHeight="1">
      <c r="L585" s="89"/>
    </row>
    <row r="586" spans="12:12" ht="14.25" customHeight="1">
      <c r="L586" s="89"/>
    </row>
    <row r="587" spans="12:12" ht="14.25" customHeight="1">
      <c r="L587" s="89"/>
    </row>
    <row r="588" spans="12:12" ht="14.25" customHeight="1">
      <c r="L588" s="89"/>
    </row>
    <row r="589" spans="12:12" ht="14.25" customHeight="1">
      <c r="L589" s="89"/>
    </row>
    <row r="590" spans="12:12" ht="14.25" customHeight="1">
      <c r="L590" s="89"/>
    </row>
    <row r="591" spans="12:12" ht="14.25" customHeight="1">
      <c r="L591" s="89"/>
    </row>
    <row r="592" spans="12:12" ht="14.25" customHeight="1">
      <c r="L592" s="89"/>
    </row>
    <row r="593" spans="12:12" ht="14.25" customHeight="1">
      <c r="L593" s="89"/>
    </row>
    <row r="594" spans="12:12" ht="14.25" customHeight="1">
      <c r="L594" s="89"/>
    </row>
    <row r="595" spans="12:12" ht="14.25" customHeight="1">
      <c r="L595" s="89"/>
    </row>
    <row r="596" spans="12:12" ht="14.25" customHeight="1">
      <c r="L596" s="89"/>
    </row>
    <row r="597" spans="12:12" ht="14.25" customHeight="1">
      <c r="L597" s="89"/>
    </row>
    <row r="598" spans="12:12" ht="14.25" customHeight="1">
      <c r="L598" s="89"/>
    </row>
    <row r="599" spans="12:12" ht="14.25" customHeight="1">
      <c r="L599" s="89"/>
    </row>
    <row r="600" spans="12:12" ht="14.25" customHeight="1">
      <c r="L600" s="89"/>
    </row>
    <row r="601" spans="12:12" ht="14.25" customHeight="1">
      <c r="L601" s="89"/>
    </row>
    <row r="602" spans="12:12" ht="14.25" customHeight="1">
      <c r="L602" s="89"/>
    </row>
    <row r="603" spans="12:12" ht="14.25" customHeight="1">
      <c r="L603" s="89"/>
    </row>
    <row r="604" spans="12:12" ht="14.25" customHeight="1">
      <c r="L604" s="89"/>
    </row>
    <row r="605" spans="12:12" ht="14.25" customHeight="1">
      <c r="L605" s="89"/>
    </row>
    <row r="606" spans="12:12" ht="14.25" customHeight="1">
      <c r="L606" s="89"/>
    </row>
    <row r="607" spans="12:12" ht="14.25" customHeight="1">
      <c r="L607" s="89"/>
    </row>
    <row r="608" spans="12:12" ht="14.25" customHeight="1">
      <c r="L608" s="89"/>
    </row>
    <row r="609" spans="12:12" ht="14.25" customHeight="1">
      <c r="L609" s="89"/>
    </row>
    <row r="610" spans="12:12" ht="14.25" customHeight="1">
      <c r="L610" s="89"/>
    </row>
    <row r="611" spans="12:12" ht="14.25" customHeight="1">
      <c r="L611" s="89"/>
    </row>
    <row r="612" spans="12:12" ht="14.25" customHeight="1">
      <c r="L612" s="89"/>
    </row>
    <row r="613" spans="12:12" ht="14.25" customHeight="1">
      <c r="L613" s="89"/>
    </row>
    <row r="614" spans="12:12" ht="14.25" customHeight="1">
      <c r="L614" s="89"/>
    </row>
    <row r="615" spans="12:12" ht="14.25" customHeight="1">
      <c r="L615" s="89"/>
    </row>
    <row r="616" spans="12:12" ht="14.25" customHeight="1">
      <c r="L616" s="89"/>
    </row>
    <row r="617" spans="12:12" ht="14.25" customHeight="1">
      <c r="L617" s="89"/>
    </row>
    <row r="618" spans="12:12" ht="14.25" customHeight="1">
      <c r="L618" s="89"/>
    </row>
    <row r="619" spans="12:12" ht="14.25" customHeight="1">
      <c r="L619" s="89"/>
    </row>
    <row r="620" spans="12:12" ht="14.25" customHeight="1">
      <c r="L620" s="89"/>
    </row>
    <row r="621" spans="12:12" ht="14.25" customHeight="1">
      <c r="L621" s="89"/>
    </row>
    <row r="622" spans="12:12" ht="14.25" customHeight="1">
      <c r="L622" s="89"/>
    </row>
    <row r="623" spans="12:12" ht="14.25" customHeight="1">
      <c r="L623" s="89"/>
    </row>
    <row r="624" spans="12:12" ht="14.25" customHeight="1">
      <c r="L624" s="89"/>
    </row>
    <row r="625" spans="12:12" ht="14.25" customHeight="1">
      <c r="L625" s="89"/>
    </row>
    <row r="626" spans="12:12" ht="14.25" customHeight="1">
      <c r="L626" s="89"/>
    </row>
    <row r="627" spans="12:12" ht="14.25" customHeight="1">
      <c r="L627" s="89"/>
    </row>
    <row r="628" spans="12:12" ht="14.25" customHeight="1">
      <c r="L628" s="89"/>
    </row>
    <row r="629" spans="12:12" ht="14.25" customHeight="1">
      <c r="L629" s="89"/>
    </row>
    <row r="630" spans="12:12" ht="14.25" customHeight="1">
      <c r="L630" s="89"/>
    </row>
    <row r="631" spans="12:12" ht="14.25" customHeight="1">
      <c r="L631" s="89"/>
    </row>
    <row r="632" spans="12:12" ht="14.25" customHeight="1">
      <c r="L632" s="89"/>
    </row>
    <row r="633" spans="12:12" ht="14.25" customHeight="1">
      <c r="L633" s="89"/>
    </row>
    <row r="634" spans="12:12" ht="14.25" customHeight="1">
      <c r="L634" s="89"/>
    </row>
    <row r="635" spans="12:12" ht="14.25" customHeight="1">
      <c r="L635" s="89"/>
    </row>
    <row r="636" spans="12:12" ht="14.25" customHeight="1">
      <c r="L636" s="89"/>
    </row>
    <row r="637" spans="12:12" ht="14.25" customHeight="1">
      <c r="L637" s="89"/>
    </row>
    <row r="638" spans="12:12" ht="14.25" customHeight="1">
      <c r="L638" s="89"/>
    </row>
    <row r="639" spans="12:12" ht="14.25" customHeight="1">
      <c r="L639" s="89"/>
    </row>
    <row r="640" spans="12:12" ht="14.25" customHeight="1">
      <c r="L640" s="89"/>
    </row>
    <row r="641" spans="12:12" ht="14.25" customHeight="1">
      <c r="L641" s="89"/>
    </row>
    <row r="642" spans="12:12" ht="14.25" customHeight="1">
      <c r="L642" s="89"/>
    </row>
    <row r="643" spans="12:12" ht="14.25" customHeight="1">
      <c r="L643" s="89"/>
    </row>
    <row r="644" spans="12:12" ht="14.25" customHeight="1">
      <c r="L644" s="89"/>
    </row>
    <row r="645" spans="12:12" ht="14.25" customHeight="1">
      <c r="L645" s="89"/>
    </row>
    <row r="646" spans="12:12" ht="14.25" customHeight="1">
      <c r="L646" s="89"/>
    </row>
    <row r="647" spans="12:12" ht="14.25" customHeight="1">
      <c r="L647" s="89"/>
    </row>
    <row r="648" spans="12:12" ht="14.25" customHeight="1">
      <c r="L648" s="89"/>
    </row>
    <row r="649" spans="12:12" ht="14.25" customHeight="1">
      <c r="L649" s="89"/>
    </row>
    <row r="650" spans="12:12" ht="14.25" customHeight="1">
      <c r="L650" s="89"/>
    </row>
    <row r="651" spans="12:12" ht="14.25" customHeight="1">
      <c r="L651" s="89"/>
    </row>
    <row r="652" spans="12:12" ht="14.25" customHeight="1">
      <c r="L652" s="89"/>
    </row>
    <row r="653" spans="12:12" ht="14.25" customHeight="1">
      <c r="L653" s="89"/>
    </row>
    <row r="654" spans="12:12" ht="14.25" customHeight="1">
      <c r="L654" s="89"/>
    </row>
    <row r="655" spans="12:12" ht="14.25" customHeight="1">
      <c r="L655" s="89"/>
    </row>
    <row r="656" spans="12:12" ht="14.25" customHeight="1">
      <c r="L656" s="89"/>
    </row>
    <row r="657" spans="12:12" ht="14.25" customHeight="1">
      <c r="L657" s="89"/>
    </row>
    <row r="658" spans="12:12" ht="14.25" customHeight="1">
      <c r="L658" s="89"/>
    </row>
    <row r="659" spans="12:12" ht="14.25" customHeight="1">
      <c r="L659" s="89"/>
    </row>
    <row r="660" spans="12:12" ht="14.25" customHeight="1">
      <c r="L660" s="89"/>
    </row>
    <row r="661" spans="12:12" ht="14.25" customHeight="1">
      <c r="L661" s="89"/>
    </row>
    <row r="662" spans="12:12" ht="14.25" customHeight="1">
      <c r="L662" s="89"/>
    </row>
    <row r="663" spans="12:12" ht="14.25" customHeight="1">
      <c r="L663" s="89"/>
    </row>
    <row r="664" spans="12:12" ht="14.25" customHeight="1">
      <c r="L664" s="89"/>
    </row>
    <row r="665" spans="12:12" ht="14.25" customHeight="1">
      <c r="L665" s="89"/>
    </row>
    <row r="666" spans="12:12" ht="14.25" customHeight="1">
      <c r="L666" s="89"/>
    </row>
    <row r="667" spans="12:12" ht="14.25" customHeight="1">
      <c r="L667" s="89"/>
    </row>
    <row r="668" spans="12:12" ht="14.25" customHeight="1">
      <c r="L668" s="89"/>
    </row>
    <row r="669" spans="12:12" ht="14.25" customHeight="1">
      <c r="L669" s="89"/>
    </row>
    <row r="670" spans="12:12" ht="14.25" customHeight="1">
      <c r="L670" s="89"/>
    </row>
    <row r="671" spans="12:12" ht="14.25" customHeight="1">
      <c r="L671" s="89"/>
    </row>
    <row r="672" spans="12:12" ht="14.25" customHeight="1">
      <c r="L672" s="89"/>
    </row>
    <row r="673" spans="12:12" ht="14.25" customHeight="1">
      <c r="L673" s="89"/>
    </row>
    <row r="674" spans="12:12" ht="14.25" customHeight="1">
      <c r="L674" s="89"/>
    </row>
    <row r="675" spans="12:12" ht="14.25" customHeight="1">
      <c r="L675" s="89"/>
    </row>
    <row r="676" spans="12:12" ht="14.25" customHeight="1">
      <c r="L676" s="89"/>
    </row>
    <row r="677" spans="12:12" ht="14.25" customHeight="1">
      <c r="L677" s="89"/>
    </row>
    <row r="678" spans="12:12" ht="14.25" customHeight="1">
      <c r="L678" s="89"/>
    </row>
    <row r="679" spans="12:12" ht="14.25" customHeight="1">
      <c r="L679" s="89"/>
    </row>
    <row r="680" spans="12:12" ht="14.25" customHeight="1">
      <c r="L680" s="89"/>
    </row>
    <row r="681" spans="12:12" ht="14.25" customHeight="1">
      <c r="L681" s="89"/>
    </row>
    <row r="682" spans="12:12" ht="14.25" customHeight="1">
      <c r="L682" s="89"/>
    </row>
    <row r="683" spans="12:12" ht="14.25" customHeight="1">
      <c r="L683" s="89"/>
    </row>
    <row r="684" spans="12:12" ht="14.25" customHeight="1">
      <c r="L684" s="89"/>
    </row>
    <row r="685" spans="12:12" ht="14.25" customHeight="1">
      <c r="L685" s="89"/>
    </row>
    <row r="686" spans="12:12" ht="14.25" customHeight="1">
      <c r="L686" s="89"/>
    </row>
    <row r="687" spans="12:12" ht="14.25" customHeight="1">
      <c r="L687" s="89"/>
    </row>
    <row r="688" spans="12:12" ht="14.25" customHeight="1">
      <c r="L688" s="89"/>
    </row>
    <row r="689" spans="12:12" ht="14.25" customHeight="1">
      <c r="L689" s="89"/>
    </row>
    <row r="690" spans="12:12" ht="14.25" customHeight="1">
      <c r="L690" s="89"/>
    </row>
    <row r="691" spans="12:12" ht="14.25" customHeight="1">
      <c r="L691" s="89"/>
    </row>
    <row r="692" spans="12:12" ht="14.25" customHeight="1">
      <c r="L692" s="89"/>
    </row>
    <row r="693" spans="12:12" ht="14.25" customHeight="1">
      <c r="L693" s="89"/>
    </row>
    <row r="694" spans="12:12" ht="14.25" customHeight="1">
      <c r="L694" s="89"/>
    </row>
    <row r="695" spans="12:12" ht="14.25" customHeight="1">
      <c r="L695" s="89"/>
    </row>
    <row r="696" spans="12:12" ht="14.25" customHeight="1">
      <c r="L696" s="89"/>
    </row>
    <row r="697" spans="12:12" ht="14.25" customHeight="1">
      <c r="L697" s="89"/>
    </row>
    <row r="698" spans="12:12" ht="14.25" customHeight="1">
      <c r="L698" s="89"/>
    </row>
    <row r="699" spans="12:12" ht="14.25" customHeight="1">
      <c r="L699" s="89"/>
    </row>
    <row r="700" spans="12:12" ht="14.25" customHeight="1">
      <c r="L700" s="89"/>
    </row>
    <row r="701" spans="12:12" ht="14.25" customHeight="1">
      <c r="L701" s="89"/>
    </row>
    <row r="702" spans="12:12" ht="14.25" customHeight="1">
      <c r="L702" s="89"/>
    </row>
    <row r="703" spans="12:12" ht="14.25" customHeight="1">
      <c r="L703" s="89"/>
    </row>
    <row r="704" spans="12:12" ht="14.25" customHeight="1">
      <c r="L704" s="89"/>
    </row>
    <row r="705" spans="12:12" ht="14.25" customHeight="1">
      <c r="L705" s="89"/>
    </row>
    <row r="706" spans="12:12" ht="14.25" customHeight="1">
      <c r="L706" s="89"/>
    </row>
    <row r="707" spans="12:12" ht="14.25" customHeight="1">
      <c r="L707" s="89"/>
    </row>
    <row r="708" spans="12:12" ht="14.25" customHeight="1">
      <c r="L708" s="89"/>
    </row>
    <row r="709" spans="12:12" ht="14.25" customHeight="1">
      <c r="L709" s="89"/>
    </row>
    <row r="710" spans="12:12" ht="14.25" customHeight="1">
      <c r="L710" s="89"/>
    </row>
    <row r="711" spans="12:12" ht="14.25" customHeight="1">
      <c r="L711" s="89"/>
    </row>
    <row r="712" spans="12:12" ht="14.25" customHeight="1">
      <c r="L712" s="89"/>
    </row>
    <row r="713" spans="12:12" ht="14.25" customHeight="1">
      <c r="L713" s="89"/>
    </row>
    <row r="714" spans="12:12" ht="14.25" customHeight="1">
      <c r="L714" s="89"/>
    </row>
    <row r="715" spans="12:12" ht="14.25" customHeight="1">
      <c r="L715" s="89"/>
    </row>
    <row r="716" spans="12:12" ht="14.25" customHeight="1">
      <c r="L716" s="89"/>
    </row>
    <row r="717" spans="12:12" ht="14.25" customHeight="1">
      <c r="L717" s="89"/>
    </row>
    <row r="718" spans="12:12" ht="14.25" customHeight="1">
      <c r="L718" s="89"/>
    </row>
    <row r="719" spans="12:12" ht="14.25" customHeight="1">
      <c r="L719" s="89"/>
    </row>
    <row r="720" spans="12:12" ht="14.25" customHeight="1">
      <c r="L720" s="89"/>
    </row>
    <row r="721" spans="12:12" ht="14.25" customHeight="1">
      <c r="L721" s="89"/>
    </row>
    <row r="722" spans="12:12" ht="14.25" customHeight="1">
      <c r="L722" s="89"/>
    </row>
    <row r="723" spans="12:12" ht="14.25" customHeight="1">
      <c r="L723" s="89"/>
    </row>
    <row r="724" spans="12:12" ht="14.25" customHeight="1">
      <c r="L724" s="89"/>
    </row>
    <row r="725" spans="12:12" ht="14.25" customHeight="1">
      <c r="L725" s="89"/>
    </row>
    <row r="726" spans="12:12" ht="14.25" customHeight="1">
      <c r="L726" s="89"/>
    </row>
    <row r="727" spans="12:12" ht="14.25" customHeight="1">
      <c r="L727" s="89"/>
    </row>
    <row r="728" spans="12:12" ht="14.25" customHeight="1">
      <c r="L728" s="89"/>
    </row>
    <row r="729" spans="12:12" ht="14.25" customHeight="1">
      <c r="L729" s="89"/>
    </row>
    <row r="730" spans="12:12" ht="14.25" customHeight="1">
      <c r="L730" s="89"/>
    </row>
    <row r="731" spans="12:12" ht="14.25" customHeight="1">
      <c r="L731" s="89"/>
    </row>
    <row r="732" spans="12:12" ht="14.25" customHeight="1">
      <c r="L732" s="89"/>
    </row>
    <row r="733" spans="12:12" ht="14.25" customHeight="1">
      <c r="L733" s="89"/>
    </row>
    <row r="734" spans="12:12" ht="14.25" customHeight="1">
      <c r="L734" s="89"/>
    </row>
    <row r="735" spans="12:12" ht="14.25" customHeight="1">
      <c r="L735" s="89"/>
    </row>
    <row r="736" spans="12:12" ht="14.25" customHeight="1">
      <c r="L736" s="89"/>
    </row>
    <row r="737" spans="12:12" ht="14.25" customHeight="1">
      <c r="L737" s="89"/>
    </row>
    <row r="738" spans="12:12" ht="14.25" customHeight="1">
      <c r="L738" s="89"/>
    </row>
    <row r="739" spans="12:12" ht="14.25" customHeight="1">
      <c r="L739" s="89"/>
    </row>
    <row r="740" spans="12:12" ht="14.25" customHeight="1">
      <c r="L740" s="89"/>
    </row>
    <row r="741" spans="12:12" ht="14.25" customHeight="1">
      <c r="L741" s="89"/>
    </row>
    <row r="742" spans="12:12" ht="14.25" customHeight="1">
      <c r="L742" s="89"/>
    </row>
    <row r="743" spans="12:12" ht="14.25" customHeight="1">
      <c r="L743" s="89"/>
    </row>
    <row r="744" spans="12:12" ht="14.25" customHeight="1">
      <c r="L744" s="89"/>
    </row>
    <row r="745" spans="12:12" ht="14.25" customHeight="1">
      <c r="L745" s="89"/>
    </row>
    <row r="746" spans="12:12" ht="14.25" customHeight="1">
      <c r="L746" s="89"/>
    </row>
    <row r="747" spans="12:12" ht="14.25" customHeight="1">
      <c r="L747" s="89"/>
    </row>
    <row r="748" spans="12:12" ht="14.25" customHeight="1">
      <c r="L748" s="89"/>
    </row>
    <row r="749" spans="12:12" ht="14.25" customHeight="1">
      <c r="L749" s="89"/>
    </row>
    <row r="750" spans="12:12" ht="14.25" customHeight="1">
      <c r="L750" s="89"/>
    </row>
    <row r="751" spans="12:12" ht="14.25" customHeight="1">
      <c r="L751" s="89"/>
    </row>
    <row r="752" spans="12:12" ht="14.25" customHeight="1">
      <c r="L752" s="89"/>
    </row>
    <row r="753" spans="12:12" ht="14.25" customHeight="1">
      <c r="L753" s="89"/>
    </row>
    <row r="754" spans="12:12" ht="14.25" customHeight="1">
      <c r="L754" s="89"/>
    </row>
    <row r="755" spans="12:12" ht="14.25" customHeight="1">
      <c r="L755" s="89"/>
    </row>
    <row r="756" spans="12:12" ht="14.25" customHeight="1">
      <c r="L756" s="89"/>
    </row>
    <row r="757" spans="12:12" ht="14.25" customHeight="1">
      <c r="L757" s="89"/>
    </row>
    <row r="758" spans="12:12" ht="14.25" customHeight="1">
      <c r="L758" s="89"/>
    </row>
    <row r="759" spans="12:12" ht="14.25" customHeight="1">
      <c r="L759" s="89"/>
    </row>
    <row r="760" spans="12:12" ht="14.25" customHeight="1">
      <c r="L760" s="89"/>
    </row>
    <row r="761" spans="12:12" ht="14.25" customHeight="1">
      <c r="L761" s="89"/>
    </row>
    <row r="762" spans="12:12" ht="14.25" customHeight="1">
      <c r="L762" s="89"/>
    </row>
    <row r="763" spans="12:12" ht="14.25" customHeight="1">
      <c r="L763" s="89"/>
    </row>
    <row r="764" spans="12:12" ht="14.25" customHeight="1">
      <c r="L764" s="89"/>
    </row>
    <row r="765" spans="12:12" ht="14.25" customHeight="1">
      <c r="L765" s="89"/>
    </row>
    <row r="766" spans="12:12" ht="14.25" customHeight="1">
      <c r="L766" s="89"/>
    </row>
    <row r="767" spans="12:12" ht="14.25" customHeight="1">
      <c r="L767" s="89"/>
    </row>
    <row r="768" spans="12:12" ht="14.25" customHeight="1">
      <c r="L768" s="89"/>
    </row>
    <row r="769" spans="12:12" ht="14.25" customHeight="1">
      <c r="L769" s="89"/>
    </row>
    <row r="770" spans="12:12" ht="14.25" customHeight="1">
      <c r="L770" s="89"/>
    </row>
    <row r="771" spans="12:12" ht="14.25" customHeight="1">
      <c r="L771" s="89"/>
    </row>
    <row r="772" spans="12:12" ht="14.25" customHeight="1">
      <c r="L772" s="89"/>
    </row>
    <row r="773" spans="12:12" ht="14.25" customHeight="1">
      <c r="L773" s="89"/>
    </row>
    <row r="774" spans="12:12" ht="14.25" customHeight="1">
      <c r="L774" s="89"/>
    </row>
    <row r="775" spans="12:12" ht="14.25" customHeight="1">
      <c r="L775" s="89"/>
    </row>
    <row r="776" spans="12:12" ht="14.25" customHeight="1">
      <c r="L776" s="89"/>
    </row>
    <row r="777" spans="12:12" ht="14.25" customHeight="1">
      <c r="L777" s="89"/>
    </row>
    <row r="778" spans="12:12" ht="14.25" customHeight="1">
      <c r="L778" s="89"/>
    </row>
    <row r="779" spans="12:12" ht="14.25" customHeight="1">
      <c r="L779" s="89"/>
    </row>
    <row r="780" spans="12:12" ht="14.25" customHeight="1">
      <c r="L780" s="89"/>
    </row>
    <row r="781" spans="12:12" ht="14.25" customHeight="1">
      <c r="L781" s="89"/>
    </row>
    <row r="782" spans="12:12" ht="14.25" customHeight="1">
      <c r="L782" s="89"/>
    </row>
    <row r="783" spans="12:12" ht="14.25" customHeight="1">
      <c r="L783" s="89"/>
    </row>
    <row r="784" spans="12:12" ht="14.25" customHeight="1">
      <c r="L784" s="89"/>
    </row>
    <row r="785" spans="12:12" ht="14.25" customHeight="1">
      <c r="L785" s="89"/>
    </row>
    <row r="786" spans="12:12" ht="14.25" customHeight="1">
      <c r="L786" s="89"/>
    </row>
    <row r="787" spans="12:12" ht="14.25" customHeight="1">
      <c r="L787" s="89"/>
    </row>
    <row r="788" spans="12:12" ht="14.25" customHeight="1">
      <c r="L788" s="89"/>
    </row>
    <row r="789" spans="12:12" ht="14.25" customHeight="1">
      <c r="L789" s="89"/>
    </row>
    <row r="790" spans="12:12" ht="14.25" customHeight="1">
      <c r="L790" s="89"/>
    </row>
    <row r="791" spans="12:12" ht="14.25" customHeight="1">
      <c r="L791" s="89"/>
    </row>
    <row r="792" spans="12:12" ht="14.25" customHeight="1">
      <c r="L792" s="89"/>
    </row>
    <row r="793" spans="12:12" ht="14.25" customHeight="1">
      <c r="L793" s="89"/>
    </row>
    <row r="794" spans="12:12" ht="14.25" customHeight="1">
      <c r="L794" s="89"/>
    </row>
    <row r="795" spans="12:12" ht="14.25" customHeight="1">
      <c r="L795" s="89"/>
    </row>
    <row r="796" spans="12:12" ht="14.25" customHeight="1">
      <c r="L796" s="89"/>
    </row>
    <row r="797" spans="12:12" ht="14.25" customHeight="1">
      <c r="L797" s="89"/>
    </row>
    <row r="798" spans="12:12" ht="14.25" customHeight="1">
      <c r="L798" s="89"/>
    </row>
    <row r="799" spans="12:12" ht="14.25" customHeight="1">
      <c r="L799" s="89"/>
    </row>
    <row r="800" spans="12:12" ht="14.25" customHeight="1">
      <c r="L800" s="89"/>
    </row>
    <row r="801" spans="12:12" ht="14.25" customHeight="1">
      <c r="L801" s="89"/>
    </row>
    <row r="802" spans="12:12" ht="14.25" customHeight="1">
      <c r="L802" s="89"/>
    </row>
    <row r="803" spans="12:12" ht="14.25" customHeight="1">
      <c r="L803" s="89"/>
    </row>
    <row r="804" spans="12:12" ht="14.25" customHeight="1">
      <c r="L804" s="89"/>
    </row>
    <row r="805" spans="12:12" ht="14.25" customHeight="1">
      <c r="L805" s="89"/>
    </row>
    <row r="806" spans="12:12" ht="14.25" customHeight="1">
      <c r="L806" s="89"/>
    </row>
    <row r="807" spans="12:12" ht="14.25" customHeight="1">
      <c r="L807" s="89"/>
    </row>
    <row r="808" spans="12:12" ht="14.25" customHeight="1">
      <c r="L808" s="89"/>
    </row>
    <row r="809" spans="12:12" ht="14.25" customHeight="1">
      <c r="L809" s="89"/>
    </row>
    <row r="810" spans="12:12" ht="14.25" customHeight="1">
      <c r="L810" s="89"/>
    </row>
    <row r="811" spans="12:12" ht="14.25" customHeight="1">
      <c r="L811" s="89"/>
    </row>
    <row r="812" spans="12:12" ht="14.25" customHeight="1">
      <c r="L812" s="89"/>
    </row>
    <row r="813" spans="12:12" ht="14.25" customHeight="1">
      <c r="L813" s="89"/>
    </row>
    <row r="814" spans="12:12" ht="14.25" customHeight="1">
      <c r="L814" s="89"/>
    </row>
    <row r="815" spans="12:12" ht="14.25" customHeight="1">
      <c r="L815" s="89"/>
    </row>
    <row r="816" spans="12:12" ht="14.25" customHeight="1">
      <c r="L816" s="89"/>
    </row>
    <row r="817" spans="12:12" ht="14.25" customHeight="1">
      <c r="L817" s="89"/>
    </row>
    <row r="818" spans="12:12" ht="14.25" customHeight="1">
      <c r="L818" s="89"/>
    </row>
    <row r="819" spans="12:12" ht="14.25" customHeight="1">
      <c r="L819" s="89"/>
    </row>
    <row r="820" spans="12:12" ht="14.25" customHeight="1">
      <c r="L820" s="89"/>
    </row>
    <row r="821" spans="12:12" ht="14.25" customHeight="1">
      <c r="L821" s="89"/>
    </row>
    <row r="822" spans="12:12" ht="14.25" customHeight="1">
      <c r="L822" s="89"/>
    </row>
    <row r="823" spans="12:12" ht="14.25" customHeight="1">
      <c r="L823" s="89"/>
    </row>
    <row r="824" spans="12:12" ht="14.25" customHeight="1">
      <c r="L824" s="89"/>
    </row>
    <row r="825" spans="12:12" ht="14.25" customHeight="1">
      <c r="L825" s="89"/>
    </row>
    <row r="826" spans="12:12" ht="14.25" customHeight="1">
      <c r="L826" s="89"/>
    </row>
    <row r="827" spans="12:12" ht="14.25" customHeight="1">
      <c r="L827" s="89"/>
    </row>
    <row r="828" spans="12:12" ht="14.25" customHeight="1">
      <c r="L828" s="89"/>
    </row>
    <row r="829" spans="12:12" ht="14.25" customHeight="1">
      <c r="L829" s="89"/>
    </row>
    <row r="830" spans="12:12" ht="14.25" customHeight="1">
      <c r="L830" s="89"/>
    </row>
    <row r="831" spans="12:12" ht="14.25" customHeight="1">
      <c r="L831" s="89"/>
    </row>
    <row r="832" spans="12:12" ht="14.25" customHeight="1">
      <c r="L832" s="89"/>
    </row>
    <row r="833" spans="12:12" ht="14.25" customHeight="1">
      <c r="L833" s="89"/>
    </row>
    <row r="834" spans="12:12" ht="14.25" customHeight="1">
      <c r="L834" s="89"/>
    </row>
    <row r="835" spans="12:12" ht="14.25" customHeight="1">
      <c r="L835" s="89"/>
    </row>
    <row r="836" spans="12:12" ht="14.25" customHeight="1">
      <c r="L836" s="89"/>
    </row>
    <row r="837" spans="12:12" ht="14.25" customHeight="1">
      <c r="L837" s="89"/>
    </row>
    <row r="838" spans="12:12" ht="14.25" customHeight="1">
      <c r="L838" s="89"/>
    </row>
    <row r="839" spans="12:12" ht="14.25" customHeight="1">
      <c r="L839" s="89"/>
    </row>
    <row r="840" spans="12:12" ht="14.25" customHeight="1">
      <c r="L840" s="89"/>
    </row>
    <row r="841" spans="12:12" ht="14.25" customHeight="1">
      <c r="L841" s="89"/>
    </row>
    <row r="842" spans="12:12" ht="14.25" customHeight="1">
      <c r="L842" s="89"/>
    </row>
    <row r="843" spans="12:12" ht="14.25" customHeight="1">
      <c r="L843" s="89"/>
    </row>
    <row r="844" spans="12:12" ht="14.25" customHeight="1">
      <c r="L844" s="89"/>
    </row>
    <row r="845" spans="12:12" ht="14.25" customHeight="1">
      <c r="L845" s="89"/>
    </row>
    <row r="846" spans="12:12" ht="14.25" customHeight="1">
      <c r="L846" s="89"/>
    </row>
    <row r="847" spans="12:12" ht="14.25" customHeight="1">
      <c r="L847" s="89"/>
    </row>
    <row r="848" spans="12:12" ht="14.25" customHeight="1">
      <c r="L848" s="89"/>
    </row>
    <row r="849" spans="12:12" ht="14.25" customHeight="1">
      <c r="L849" s="89"/>
    </row>
    <row r="850" spans="12:12" ht="14.25" customHeight="1">
      <c r="L850" s="89"/>
    </row>
    <row r="851" spans="12:12" ht="14.25" customHeight="1">
      <c r="L851" s="89"/>
    </row>
    <row r="852" spans="12:12" ht="14.25" customHeight="1">
      <c r="L852" s="89"/>
    </row>
    <row r="853" spans="12:12" ht="14.25" customHeight="1">
      <c r="L853" s="89"/>
    </row>
    <row r="854" spans="12:12" ht="14.25" customHeight="1">
      <c r="L854" s="89"/>
    </row>
    <row r="855" spans="12:12" ht="14.25" customHeight="1">
      <c r="L855" s="89"/>
    </row>
    <row r="856" spans="12:12" ht="14.25" customHeight="1">
      <c r="L856" s="89"/>
    </row>
    <row r="857" spans="12:12" ht="14.25" customHeight="1">
      <c r="L857" s="89"/>
    </row>
    <row r="858" spans="12:12" ht="14.25" customHeight="1">
      <c r="L858" s="89"/>
    </row>
    <row r="859" spans="12:12" ht="14.25" customHeight="1">
      <c r="L859" s="89"/>
    </row>
    <row r="860" spans="12:12" ht="14.25" customHeight="1">
      <c r="L860" s="89"/>
    </row>
    <row r="861" spans="12:12" ht="14.25" customHeight="1">
      <c r="L861" s="89"/>
    </row>
    <row r="862" spans="12:12" ht="14.25" customHeight="1">
      <c r="L862" s="89"/>
    </row>
    <row r="863" spans="12:12" ht="14.25" customHeight="1">
      <c r="L863" s="89"/>
    </row>
    <row r="864" spans="12:12" ht="14.25" customHeight="1">
      <c r="L864" s="89"/>
    </row>
    <row r="865" spans="12:12" ht="14.25" customHeight="1">
      <c r="L865" s="89"/>
    </row>
    <row r="866" spans="12:12" ht="14.25" customHeight="1">
      <c r="L866" s="89"/>
    </row>
    <row r="867" spans="12:12" ht="14.25" customHeight="1">
      <c r="L867" s="89"/>
    </row>
    <row r="868" spans="12:12" ht="14.25" customHeight="1">
      <c r="L868" s="89"/>
    </row>
    <row r="869" spans="12:12" ht="14.25" customHeight="1">
      <c r="L869" s="89"/>
    </row>
    <row r="870" spans="12:12" ht="14.25" customHeight="1">
      <c r="L870" s="89"/>
    </row>
    <row r="871" spans="12:12" ht="14.25" customHeight="1">
      <c r="L871" s="89"/>
    </row>
    <row r="872" spans="12:12" ht="14.25" customHeight="1">
      <c r="L872" s="89"/>
    </row>
    <row r="873" spans="12:12" ht="14.25" customHeight="1">
      <c r="L873" s="89"/>
    </row>
    <row r="874" spans="12:12" ht="14.25" customHeight="1">
      <c r="L874" s="89"/>
    </row>
    <row r="875" spans="12:12" ht="14.25" customHeight="1">
      <c r="L875" s="89"/>
    </row>
    <row r="876" spans="12:12" ht="14.25" customHeight="1">
      <c r="L876" s="89"/>
    </row>
    <row r="877" spans="12:12" ht="14.25" customHeight="1">
      <c r="L877" s="89"/>
    </row>
    <row r="878" spans="12:12" ht="14.25" customHeight="1">
      <c r="L878" s="89"/>
    </row>
    <row r="879" spans="12:12" ht="14.25" customHeight="1">
      <c r="L879" s="89"/>
    </row>
    <row r="880" spans="12:12" ht="14.25" customHeight="1">
      <c r="L880" s="89"/>
    </row>
    <row r="881" spans="12:12" ht="14.25" customHeight="1">
      <c r="L881" s="89"/>
    </row>
    <row r="882" spans="12:12" ht="14.25" customHeight="1">
      <c r="L882" s="89"/>
    </row>
    <row r="883" spans="12:12" ht="14.25" customHeight="1">
      <c r="L883" s="89"/>
    </row>
    <row r="884" spans="12:12" ht="14.25" customHeight="1">
      <c r="L884" s="89"/>
    </row>
    <row r="885" spans="12:12" ht="14.25" customHeight="1">
      <c r="L885" s="89"/>
    </row>
    <row r="886" spans="12:12" ht="14.25" customHeight="1">
      <c r="L886" s="89"/>
    </row>
    <row r="887" spans="12:12" ht="14.25" customHeight="1">
      <c r="L887" s="89"/>
    </row>
    <row r="888" spans="12:12" ht="14.25" customHeight="1">
      <c r="L888" s="89"/>
    </row>
    <row r="889" spans="12:12" ht="14.25" customHeight="1">
      <c r="L889" s="89"/>
    </row>
    <row r="890" spans="12:12" ht="14.25" customHeight="1">
      <c r="L890" s="89"/>
    </row>
    <row r="891" spans="12:12" ht="14.25" customHeight="1">
      <c r="L891" s="89"/>
    </row>
    <row r="892" spans="12:12" ht="14.25" customHeight="1">
      <c r="L892" s="89"/>
    </row>
    <row r="893" spans="12:12" ht="14.25" customHeight="1">
      <c r="L893" s="89"/>
    </row>
    <row r="894" spans="12:12" ht="14.25" customHeight="1">
      <c r="L894" s="89"/>
    </row>
    <row r="895" spans="12:12" ht="14.25" customHeight="1">
      <c r="L895" s="89"/>
    </row>
    <row r="896" spans="12:12" ht="14.25" customHeight="1">
      <c r="L896" s="89"/>
    </row>
    <row r="897" spans="12:12" ht="14.25" customHeight="1">
      <c r="L897" s="89"/>
    </row>
    <row r="898" spans="12:12" ht="14.25" customHeight="1">
      <c r="L898" s="89"/>
    </row>
    <row r="899" spans="12:12" ht="14.25" customHeight="1">
      <c r="L899" s="89"/>
    </row>
    <row r="900" spans="12:12" ht="14.25" customHeight="1">
      <c r="L900" s="89"/>
    </row>
    <row r="901" spans="12:12" ht="14.25" customHeight="1">
      <c r="L901" s="89"/>
    </row>
    <row r="902" spans="12:12" ht="14.25" customHeight="1">
      <c r="L902" s="89"/>
    </row>
    <row r="903" spans="12:12" ht="14.25" customHeight="1">
      <c r="L903" s="89"/>
    </row>
    <row r="904" spans="12:12" ht="14.25" customHeight="1">
      <c r="L904" s="89"/>
    </row>
    <row r="905" spans="12:12" ht="14.25" customHeight="1">
      <c r="L905" s="89"/>
    </row>
    <row r="906" spans="12:12" ht="14.25" customHeight="1">
      <c r="L906" s="89"/>
    </row>
    <row r="907" spans="12:12" ht="14.25" customHeight="1">
      <c r="L907" s="89"/>
    </row>
    <row r="908" spans="12:12" ht="14.25" customHeight="1">
      <c r="L908" s="89"/>
    </row>
    <row r="909" spans="12:12" ht="14.25" customHeight="1">
      <c r="L909" s="89"/>
    </row>
    <row r="910" spans="12:12" ht="14.25" customHeight="1">
      <c r="L910" s="89"/>
    </row>
    <row r="911" spans="12:12" ht="14.25" customHeight="1">
      <c r="L911" s="89"/>
    </row>
    <row r="912" spans="12:12" ht="14.25" customHeight="1">
      <c r="L912" s="89"/>
    </row>
    <row r="913" spans="12:12" ht="14.25" customHeight="1">
      <c r="L913" s="89"/>
    </row>
    <row r="914" spans="12:12" ht="14.25" customHeight="1">
      <c r="L914" s="89"/>
    </row>
    <row r="915" spans="12:12" ht="14.25" customHeight="1">
      <c r="L915" s="89"/>
    </row>
    <row r="916" spans="12:12" ht="14.25" customHeight="1">
      <c r="L916" s="89"/>
    </row>
    <row r="917" spans="12:12" ht="14.25" customHeight="1">
      <c r="L917" s="89"/>
    </row>
    <row r="918" spans="12:12" ht="14.25" customHeight="1">
      <c r="L918" s="89"/>
    </row>
    <row r="919" spans="12:12" ht="14.25" customHeight="1">
      <c r="L919" s="89"/>
    </row>
    <row r="920" spans="12:12" ht="14.25" customHeight="1">
      <c r="L920" s="89"/>
    </row>
    <row r="921" spans="12:12" ht="14.25" customHeight="1">
      <c r="L921" s="89"/>
    </row>
    <row r="922" spans="12:12" ht="14.25" customHeight="1">
      <c r="L922" s="89"/>
    </row>
    <row r="923" spans="12:12" ht="14.25" customHeight="1">
      <c r="L923" s="89"/>
    </row>
    <row r="924" spans="12:12" ht="14.25" customHeight="1">
      <c r="L924" s="89"/>
    </row>
    <row r="925" spans="12:12" ht="14.25" customHeight="1">
      <c r="L925" s="89"/>
    </row>
    <row r="926" spans="12:12" ht="14.25" customHeight="1">
      <c r="L926" s="89"/>
    </row>
    <row r="927" spans="12:12" ht="14.25" customHeight="1">
      <c r="L927" s="89"/>
    </row>
    <row r="928" spans="12:12" ht="14.25" customHeight="1">
      <c r="L928" s="89"/>
    </row>
    <row r="929" spans="12:12" ht="14.25" customHeight="1">
      <c r="L929" s="89"/>
    </row>
    <row r="930" spans="12:12" ht="14.25" customHeight="1">
      <c r="L930" s="89"/>
    </row>
    <row r="931" spans="12:12" ht="14.25" customHeight="1">
      <c r="L931" s="89"/>
    </row>
    <row r="932" spans="12:12" ht="14.25" customHeight="1">
      <c r="L932" s="89"/>
    </row>
    <row r="933" spans="12:12" ht="14.25" customHeight="1">
      <c r="L933" s="89"/>
    </row>
    <row r="934" spans="12:12" ht="14.25" customHeight="1">
      <c r="L934" s="89"/>
    </row>
    <row r="935" spans="12:12" ht="14.25" customHeight="1">
      <c r="L935" s="89"/>
    </row>
    <row r="936" spans="12:12" ht="14.25" customHeight="1">
      <c r="L936" s="89"/>
    </row>
    <row r="937" spans="12:12" ht="14.25" customHeight="1">
      <c r="L937" s="89"/>
    </row>
    <row r="938" spans="12:12" ht="14.25" customHeight="1">
      <c r="L938" s="89"/>
    </row>
    <row r="939" spans="12:12" ht="14.25" customHeight="1">
      <c r="L939" s="89"/>
    </row>
    <row r="940" spans="12:12" ht="14.25" customHeight="1">
      <c r="L940" s="89"/>
    </row>
    <row r="941" spans="12:12" ht="14.25" customHeight="1">
      <c r="L941" s="89"/>
    </row>
    <row r="942" spans="12:12" ht="14.25" customHeight="1">
      <c r="L942" s="89"/>
    </row>
    <row r="943" spans="12:12" ht="14.25" customHeight="1">
      <c r="L943" s="89"/>
    </row>
    <row r="944" spans="12:12" ht="14.25" customHeight="1">
      <c r="L944" s="89"/>
    </row>
    <row r="945" spans="12:12" ht="14.25" customHeight="1">
      <c r="L945" s="89"/>
    </row>
    <row r="946" spans="12:12" ht="14.25" customHeight="1">
      <c r="L946" s="89"/>
    </row>
    <row r="947" spans="12:12" ht="14.25" customHeight="1">
      <c r="L947" s="89"/>
    </row>
    <row r="948" spans="12:12" ht="14.25" customHeight="1">
      <c r="L948" s="89"/>
    </row>
    <row r="949" spans="12:12" ht="14.25" customHeight="1">
      <c r="L949" s="89"/>
    </row>
    <row r="950" spans="12:12" ht="14.25" customHeight="1">
      <c r="L950" s="89"/>
    </row>
    <row r="951" spans="12:12" ht="14.25" customHeight="1">
      <c r="L951" s="89"/>
    </row>
    <row r="952" spans="12:12" ht="14.25" customHeight="1">
      <c r="L952" s="89"/>
    </row>
    <row r="953" spans="12:12" ht="14.25" customHeight="1">
      <c r="L953" s="89"/>
    </row>
    <row r="954" spans="12:12" ht="14.25" customHeight="1">
      <c r="L954" s="89"/>
    </row>
    <row r="955" spans="12:12" ht="14.25" customHeight="1">
      <c r="L955" s="89"/>
    </row>
    <row r="956" spans="12:12" ht="14.25" customHeight="1">
      <c r="L956" s="89"/>
    </row>
    <row r="957" spans="12:12" ht="14.25" customHeight="1">
      <c r="L957" s="89"/>
    </row>
    <row r="958" spans="12:12" ht="14.25" customHeight="1">
      <c r="L958" s="89"/>
    </row>
    <row r="959" spans="12:12" ht="14.25" customHeight="1">
      <c r="L959" s="89"/>
    </row>
    <row r="960" spans="12:12" ht="14.25" customHeight="1">
      <c r="L960" s="89"/>
    </row>
    <row r="961" spans="12:12" ht="14.25" customHeight="1">
      <c r="L961" s="89"/>
    </row>
    <row r="962" spans="12:12" ht="14.25" customHeight="1">
      <c r="L962" s="89"/>
    </row>
    <row r="963" spans="12:12" ht="14.25" customHeight="1">
      <c r="L963" s="89"/>
    </row>
    <row r="964" spans="12:12" ht="14.25" customHeight="1">
      <c r="L964" s="89"/>
    </row>
    <row r="965" spans="12:12" ht="14.25" customHeight="1">
      <c r="L965" s="89"/>
    </row>
    <row r="966" spans="12:12" ht="14.25" customHeight="1">
      <c r="L966" s="89"/>
    </row>
    <row r="967" spans="12:12" ht="14.25" customHeight="1">
      <c r="L967" s="89"/>
    </row>
    <row r="968" spans="12:12" ht="14.25" customHeight="1">
      <c r="L968" s="89"/>
    </row>
    <row r="969" spans="12:12" ht="14.25" customHeight="1">
      <c r="L969" s="89"/>
    </row>
    <row r="970" spans="12:12" ht="14.25" customHeight="1">
      <c r="L970" s="89"/>
    </row>
    <row r="971" spans="12:12" ht="14.25" customHeight="1">
      <c r="L971" s="89"/>
    </row>
    <row r="972" spans="12:12" ht="14.25" customHeight="1">
      <c r="L972" s="89"/>
    </row>
    <row r="973" spans="12:12" ht="14.25" customHeight="1">
      <c r="L973" s="89"/>
    </row>
    <row r="974" spans="12:12" ht="14.25" customHeight="1">
      <c r="L974" s="89"/>
    </row>
    <row r="975" spans="12:12" ht="14.25" customHeight="1">
      <c r="L975" s="89"/>
    </row>
    <row r="976" spans="12:12" ht="14.25" customHeight="1">
      <c r="L976" s="89"/>
    </row>
    <row r="977" spans="12:12" ht="14.25" customHeight="1">
      <c r="L977" s="89"/>
    </row>
    <row r="978" spans="12:12" ht="14.25" customHeight="1">
      <c r="L978" s="89"/>
    </row>
    <row r="979" spans="12:12" ht="14.25" customHeight="1">
      <c r="L979" s="89"/>
    </row>
    <row r="980" spans="12:12" ht="14.25" customHeight="1">
      <c r="L980" s="89"/>
    </row>
    <row r="981" spans="12:12" ht="14.25" customHeight="1">
      <c r="L981" s="89"/>
    </row>
    <row r="982" spans="12:12" ht="14.25" customHeight="1">
      <c r="L982" s="89"/>
    </row>
    <row r="983" spans="12:12" ht="14.25" customHeight="1">
      <c r="L983" s="89"/>
    </row>
    <row r="984" spans="12:12" ht="14.25" customHeight="1">
      <c r="L984" s="89"/>
    </row>
    <row r="985" spans="12:12" ht="14.25" customHeight="1">
      <c r="L985" s="89"/>
    </row>
    <row r="986" spans="12:12" ht="14.25" customHeight="1">
      <c r="L986" s="89"/>
    </row>
    <row r="987" spans="12:12" ht="14.25" customHeight="1">
      <c r="L987" s="89"/>
    </row>
    <row r="988" spans="12:12" ht="14.25" customHeight="1">
      <c r="L988" s="89"/>
    </row>
    <row r="989" spans="12:12" ht="14.25" customHeight="1">
      <c r="L989" s="89"/>
    </row>
    <row r="990" spans="12:12" ht="14.25" customHeight="1">
      <c r="L990" s="89"/>
    </row>
    <row r="991" spans="12:12" ht="14.25" customHeight="1">
      <c r="L991" s="89"/>
    </row>
    <row r="992" spans="12:12" ht="14.25" customHeight="1">
      <c r="L992" s="89"/>
    </row>
    <row r="993" spans="12:12" ht="14.25" customHeight="1">
      <c r="L993" s="89"/>
    </row>
    <row r="994" spans="12:12" ht="14.25" customHeight="1">
      <c r="L994" s="89"/>
    </row>
    <row r="995" spans="12:12" ht="14.25" customHeight="1">
      <c r="L995" s="89"/>
    </row>
    <row r="996" spans="12:12" ht="14.25" customHeight="1">
      <c r="L996" s="89"/>
    </row>
    <row r="997" spans="12:12" ht="14.25" customHeight="1">
      <c r="L997" s="89"/>
    </row>
    <row r="998" spans="12:12" ht="14.25" customHeight="1">
      <c r="L998" s="89"/>
    </row>
    <row r="999" spans="12:12" ht="14.25" customHeight="1">
      <c r="L999" s="89"/>
    </row>
    <row r="1000" spans="12:12" ht="14.25" customHeight="1">
      <c r="L1000" s="89"/>
    </row>
  </sheetData>
  <sheetProtection sheet="1" objects="1" scenarios="1"/>
  <mergeCells count="40">
    <mergeCell ref="Q50:R50"/>
    <mergeCell ref="N50:O50"/>
    <mergeCell ref="H2:I2"/>
    <mergeCell ref="H3:I3"/>
    <mergeCell ref="H4:I4"/>
    <mergeCell ref="H6:I6"/>
    <mergeCell ref="L4:M4"/>
    <mergeCell ref="L6:M6"/>
    <mergeCell ref="N28:O28"/>
    <mergeCell ref="Q9:R9"/>
    <mergeCell ref="A15:G15"/>
    <mergeCell ref="H15:O15"/>
    <mergeCell ref="A8:G8"/>
    <mergeCell ref="H8:O8"/>
    <mergeCell ref="C29:E29"/>
    <mergeCell ref="C30:E30"/>
    <mergeCell ref="L28:M28"/>
    <mergeCell ref="A16:E16"/>
    <mergeCell ref="H21:O21"/>
    <mergeCell ref="H16:O20"/>
    <mergeCell ref="H22:O26"/>
    <mergeCell ref="C31:E31"/>
    <mergeCell ref="C32:E32"/>
    <mergeCell ref="C33:E33"/>
    <mergeCell ref="C34:E34"/>
    <mergeCell ref="C35:E35"/>
    <mergeCell ref="C43:E43"/>
    <mergeCell ref="C44:E44"/>
    <mergeCell ref="C48:E48"/>
    <mergeCell ref="C49:E49"/>
    <mergeCell ref="C36:E36"/>
    <mergeCell ref="C37:E37"/>
    <mergeCell ref="C38:E38"/>
    <mergeCell ref="C39:E39"/>
    <mergeCell ref="C42:E42"/>
    <mergeCell ref="C40:E40"/>
    <mergeCell ref="C41:E41"/>
    <mergeCell ref="C45:E45"/>
    <mergeCell ref="C46:E46"/>
    <mergeCell ref="C47:E47"/>
  </mergeCells>
  <phoneticPr fontId="22" type="noConversion"/>
  <dataValidations count="5">
    <dataValidation type="list" allowBlank="1" showInputMessage="1" showErrorMessage="1" sqref="L50:L1000" xr:uid="{00000000-0002-0000-0000-000003000000}">
      <formula1>#REF!</formula1>
    </dataValidation>
    <dataValidation type="list" allowBlank="1" showInputMessage="1" showErrorMessage="1" sqref="F30:F49" xr:uid="{15853E53-FAD4-4283-9C10-CFAD29D7A79D}">
      <formula1>"SP,ES"</formula1>
    </dataValidation>
    <dataValidation type="list" allowBlank="1" showInputMessage="1" showErrorMessage="1" sqref="G17" xr:uid="{407F5467-1746-4B64-956C-9A3893DD181D}">
      <formula1>"SIM,NÃO"</formula1>
      <formula2>0</formula2>
    </dataValidation>
    <dataValidation type="list" allowBlank="1" showInputMessage="1" showErrorMessage="1" sqref="J6" xr:uid="{16C3C37D-C38F-4B30-BEFA-68AC76A93308}">
      <formula1>$Q$11:$Q$36</formula1>
      <formula2>0</formula2>
    </dataValidation>
    <dataValidation type="list" allowBlank="1" showInputMessage="1" showErrorMessage="1" sqref="N6" xr:uid="{299B5941-4458-45EF-A471-9B107D70B262}">
      <formula1>$R$11:$R$36</formula1>
      <formula2>0</formula2>
    </dataValidation>
  </dataValidations>
  <hyperlinks>
    <hyperlink ref="G14" r:id="rId1" xr:uid="{1D503165-DA00-4A34-A812-789FFD5D0DE7}"/>
    <hyperlink ref="G22" r:id="rId2" xr:uid="{AF9ED2FE-1460-4483-8026-77D0B7C514D0}"/>
  </hyperlinks>
  <pageMargins left="0.25" right="0.25" top="0.75" bottom="0.75" header="0.3" footer="0.3"/>
  <pageSetup paperSize="9" scale="47" orientation="landscape" r:id="rId3"/>
  <drawing r:id="rId4"/>
  <legacyDrawing r:id="rId5"/>
  <controls>
    <mc:AlternateContent xmlns:mc="http://schemas.openxmlformats.org/markup-compatibility/2006">
      <mc:Choice Requires="x14">
        <control shapeId="4315" r:id="rId6" name="ComboBox22">
          <controlPr defaultSize="0" autoLine="0" linkedCell="B49" listFillRange="Produtos_Pasta" r:id="rId7">
            <anchor moveWithCells="1">
              <from>
                <xdr:col>1</xdr:col>
                <xdr:colOff>19050</xdr:colOff>
                <xdr:row>48</xdr:row>
                <xdr:rowOff>0</xdr:rowOff>
              </from>
              <to>
                <xdr:col>1</xdr:col>
                <xdr:colOff>1724025</xdr:colOff>
                <xdr:row>49</xdr:row>
                <xdr:rowOff>9525</xdr:rowOff>
              </to>
            </anchor>
          </controlPr>
        </control>
      </mc:Choice>
      <mc:Fallback>
        <control shapeId="4315" r:id="rId6" name="ComboBox22"/>
      </mc:Fallback>
    </mc:AlternateContent>
    <mc:AlternateContent xmlns:mc="http://schemas.openxmlformats.org/markup-compatibility/2006">
      <mc:Choice Requires="x14">
        <control shapeId="4314" r:id="rId8" name="ComboBox21">
          <controlPr defaultSize="0" autoLine="0" linkedCell="B48" listFillRange="Produtos_Pasta" r:id="rId7">
            <anchor moveWithCells="1">
              <from>
                <xdr:col>1</xdr:col>
                <xdr:colOff>19050</xdr:colOff>
                <xdr:row>47</xdr:row>
                <xdr:rowOff>0</xdr:rowOff>
              </from>
              <to>
                <xdr:col>1</xdr:col>
                <xdr:colOff>1724025</xdr:colOff>
                <xdr:row>48</xdr:row>
                <xdr:rowOff>9525</xdr:rowOff>
              </to>
            </anchor>
          </controlPr>
        </control>
      </mc:Choice>
      <mc:Fallback>
        <control shapeId="4314" r:id="rId8" name="ComboBox21"/>
      </mc:Fallback>
    </mc:AlternateContent>
    <mc:AlternateContent xmlns:mc="http://schemas.openxmlformats.org/markup-compatibility/2006">
      <mc:Choice Requires="x14">
        <control shapeId="4313" r:id="rId9" name="ComboBox20">
          <controlPr defaultSize="0" autoLine="0" linkedCell="B47" listFillRange="Produtos_Pasta" r:id="rId7">
            <anchor moveWithCells="1">
              <from>
                <xdr:col>1</xdr:col>
                <xdr:colOff>19050</xdr:colOff>
                <xdr:row>46</xdr:row>
                <xdr:rowOff>0</xdr:rowOff>
              </from>
              <to>
                <xdr:col>1</xdr:col>
                <xdr:colOff>1724025</xdr:colOff>
                <xdr:row>47</xdr:row>
                <xdr:rowOff>9525</xdr:rowOff>
              </to>
            </anchor>
          </controlPr>
        </control>
      </mc:Choice>
      <mc:Fallback>
        <control shapeId="4313" r:id="rId9" name="ComboBox20"/>
      </mc:Fallback>
    </mc:AlternateContent>
    <mc:AlternateContent xmlns:mc="http://schemas.openxmlformats.org/markup-compatibility/2006">
      <mc:Choice Requires="x14">
        <control shapeId="4312" r:id="rId10" name="ComboBox19">
          <controlPr defaultSize="0" autoLine="0" linkedCell="B46" listFillRange="Produtos_Pasta" r:id="rId7">
            <anchor moveWithCells="1">
              <from>
                <xdr:col>1</xdr:col>
                <xdr:colOff>19050</xdr:colOff>
                <xdr:row>45</xdr:row>
                <xdr:rowOff>0</xdr:rowOff>
              </from>
              <to>
                <xdr:col>1</xdr:col>
                <xdr:colOff>1724025</xdr:colOff>
                <xdr:row>46</xdr:row>
                <xdr:rowOff>9525</xdr:rowOff>
              </to>
            </anchor>
          </controlPr>
        </control>
      </mc:Choice>
      <mc:Fallback>
        <control shapeId="4312" r:id="rId10" name="ComboBox19"/>
      </mc:Fallback>
    </mc:AlternateContent>
    <mc:AlternateContent xmlns:mc="http://schemas.openxmlformats.org/markup-compatibility/2006">
      <mc:Choice Requires="x14">
        <control shapeId="4311" r:id="rId11" name="ComboBox18">
          <controlPr defaultSize="0" autoLine="0" linkedCell="B45" listFillRange="Produtos_Pasta" r:id="rId7">
            <anchor moveWithCells="1">
              <from>
                <xdr:col>1</xdr:col>
                <xdr:colOff>19050</xdr:colOff>
                <xdr:row>44</xdr:row>
                <xdr:rowOff>0</xdr:rowOff>
              </from>
              <to>
                <xdr:col>1</xdr:col>
                <xdr:colOff>1724025</xdr:colOff>
                <xdr:row>45</xdr:row>
                <xdr:rowOff>9525</xdr:rowOff>
              </to>
            </anchor>
          </controlPr>
        </control>
      </mc:Choice>
      <mc:Fallback>
        <control shapeId="4311" r:id="rId11" name="ComboBox18"/>
      </mc:Fallback>
    </mc:AlternateContent>
    <mc:AlternateContent xmlns:mc="http://schemas.openxmlformats.org/markup-compatibility/2006">
      <mc:Choice Requires="x14">
        <control shapeId="4310" r:id="rId12" name="ComboBox17">
          <controlPr defaultSize="0" autoLine="0" linkedCell="B44" listFillRange="Produtos_Pasta" r:id="rId7">
            <anchor moveWithCells="1">
              <from>
                <xdr:col>1</xdr:col>
                <xdr:colOff>19050</xdr:colOff>
                <xdr:row>43</xdr:row>
                <xdr:rowOff>0</xdr:rowOff>
              </from>
              <to>
                <xdr:col>1</xdr:col>
                <xdr:colOff>1724025</xdr:colOff>
                <xdr:row>44</xdr:row>
                <xdr:rowOff>9525</xdr:rowOff>
              </to>
            </anchor>
          </controlPr>
        </control>
      </mc:Choice>
      <mc:Fallback>
        <control shapeId="4310" r:id="rId12" name="ComboBox17"/>
      </mc:Fallback>
    </mc:AlternateContent>
    <mc:AlternateContent xmlns:mc="http://schemas.openxmlformats.org/markup-compatibility/2006">
      <mc:Choice Requires="x14">
        <control shapeId="4309" r:id="rId13" name="ComboBox16">
          <controlPr defaultSize="0" autoLine="0" linkedCell="B43" listFillRange="Produtos_Pasta" r:id="rId7">
            <anchor moveWithCells="1">
              <from>
                <xdr:col>1</xdr:col>
                <xdr:colOff>19050</xdr:colOff>
                <xdr:row>42</xdr:row>
                <xdr:rowOff>0</xdr:rowOff>
              </from>
              <to>
                <xdr:col>1</xdr:col>
                <xdr:colOff>1724025</xdr:colOff>
                <xdr:row>43</xdr:row>
                <xdr:rowOff>9525</xdr:rowOff>
              </to>
            </anchor>
          </controlPr>
        </control>
      </mc:Choice>
      <mc:Fallback>
        <control shapeId="4309" r:id="rId13" name="ComboBox16"/>
      </mc:Fallback>
    </mc:AlternateContent>
    <mc:AlternateContent xmlns:mc="http://schemas.openxmlformats.org/markup-compatibility/2006">
      <mc:Choice Requires="x14">
        <control shapeId="4308" r:id="rId14" name="ComboBox15">
          <controlPr defaultSize="0" autoLine="0" linkedCell="B42" listFillRange="Produtos_Pasta" r:id="rId7">
            <anchor moveWithCells="1">
              <from>
                <xdr:col>1</xdr:col>
                <xdr:colOff>19050</xdr:colOff>
                <xdr:row>41</xdr:row>
                <xdr:rowOff>0</xdr:rowOff>
              </from>
              <to>
                <xdr:col>1</xdr:col>
                <xdr:colOff>1724025</xdr:colOff>
                <xdr:row>42</xdr:row>
                <xdr:rowOff>9525</xdr:rowOff>
              </to>
            </anchor>
          </controlPr>
        </control>
      </mc:Choice>
      <mc:Fallback>
        <control shapeId="4308" r:id="rId14" name="ComboBox15"/>
      </mc:Fallback>
    </mc:AlternateContent>
    <mc:AlternateContent xmlns:mc="http://schemas.openxmlformats.org/markup-compatibility/2006">
      <mc:Choice Requires="x14">
        <control shapeId="4307" r:id="rId15" name="ComboBox14">
          <controlPr defaultSize="0" autoLine="0" linkedCell="B41" listFillRange="Produtos_Pasta" r:id="rId7">
            <anchor moveWithCells="1">
              <from>
                <xdr:col>1</xdr:col>
                <xdr:colOff>19050</xdr:colOff>
                <xdr:row>40</xdr:row>
                <xdr:rowOff>0</xdr:rowOff>
              </from>
              <to>
                <xdr:col>1</xdr:col>
                <xdr:colOff>1724025</xdr:colOff>
                <xdr:row>41</xdr:row>
                <xdr:rowOff>9525</xdr:rowOff>
              </to>
            </anchor>
          </controlPr>
        </control>
      </mc:Choice>
      <mc:Fallback>
        <control shapeId="4307" r:id="rId15" name="ComboBox14"/>
      </mc:Fallback>
    </mc:AlternateContent>
    <mc:AlternateContent xmlns:mc="http://schemas.openxmlformats.org/markup-compatibility/2006">
      <mc:Choice Requires="x14">
        <control shapeId="4306" r:id="rId16" name="ComboBox13">
          <controlPr defaultSize="0" autoLine="0" linkedCell="B40" listFillRange="Produtos_Pasta" r:id="rId7">
            <anchor moveWithCells="1">
              <from>
                <xdr:col>1</xdr:col>
                <xdr:colOff>19050</xdr:colOff>
                <xdr:row>39</xdr:row>
                <xdr:rowOff>0</xdr:rowOff>
              </from>
              <to>
                <xdr:col>1</xdr:col>
                <xdr:colOff>1724025</xdr:colOff>
                <xdr:row>40</xdr:row>
                <xdr:rowOff>9525</xdr:rowOff>
              </to>
            </anchor>
          </controlPr>
        </control>
      </mc:Choice>
      <mc:Fallback>
        <control shapeId="4306" r:id="rId16" name="ComboBox13"/>
      </mc:Fallback>
    </mc:AlternateContent>
    <mc:AlternateContent xmlns:mc="http://schemas.openxmlformats.org/markup-compatibility/2006">
      <mc:Choice Requires="x14">
        <control shapeId="4305" r:id="rId17" name="ComboBox12">
          <controlPr defaultSize="0" autoLine="0" linkedCell="B39" listFillRange="Produtos_Pasta" r:id="rId7">
            <anchor moveWithCells="1">
              <from>
                <xdr:col>1</xdr:col>
                <xdr:colOff>19050</xdr:colOff>
                <xdr:row>38</xdr:row>
                <xdr:rowOff>0</xdr:rowOff>
              </from>
              <to>
                <xdr:col>1</xdr:col>
                <xdr:colOff>1724025</xdr:colOff>
                <xdr:row>39</xdr:row>
                <xdr:rowOff>9525</xdr:rowOff>
              </to>
            </anchor>
          </controlPr>
        </control>
      </mc:Choice>
      <mc:Fallback>
        <control shapeId="4305" r:id="rId17" name="ComboBox12"/>
      </mc:Fallback>
    </mc:AlternateContent>
    <mc:AlternateContent xmlns:mc="http://schemas.openxmlformats.org/markup-compatibility/2006">
      <mc:Choice Requires="x14">
        <control shapeId="4304" r:id="rId18" name="ComboBox11">
          <controlPr defaultSize="0" autoLine="0" linkedCell="B38" listFillRange="Produtos_Pasta" r:id="rId7">
            <anchor moveWithCells="1">
              <from>
                <xdr:col>1</xdr:col>
                <xdr:colOff>19050</xdr:colOff>
                <xdr:row>37</xdr:row>
                <xdr:rowOff>0</xdr:rowOff>
              </from>
              <to>
                <xdr:col>1</xdr:col>
                <xdr:colOff>1724025</xdr:colOff>
                <xdr:row>38</xdr:row>
                <xdr:rowOff>9525</xdr:rowOff>
              </to>
            </anchor>
          </controlPr>
        </control>
      </mc:Choice>
      <mc:Fallback>
        <control shapeId="4304" r:id="rId18" name="ComboBox11"/>
      </mc:Fallback>
    </mc:AlternateContent>
    <mc:AlternateContent xmlns:mc="http://schemas.openxmlformats.org/markup-compatibility/2006">
      <mc:Choice Requires="x14">
        <control shapeId="4303" r:id="rId19" name="ComboBox10">
          <controlPr defaultSize="0" autoLine="0" linkedCell="B37" listFillRange="Produtos_Pasta" r:id="rId7">
            <anchor moveWithCells="1">
              <from>
                <xdr:col>1</xdr:col>
                <xdr:colOff>19050</xdr:colOff>
                <xdr:row>36</xdr:row>
                <xdr:rowOff>0</xdr:rowOff>
              </from>
              <to>
                <xdr:col>1</xdr:col>
                <xdr:colOff>1724025</xdr:colOff>
                <xdr:row>37</xdr:row>
                <xdr:rowOff>9525</xdr:rowOff>
              </to>
            </anchor>
          </controlPr>
        </control>
      </mc:Choice>
      <mc:Fallback>
        <control shapeId="4303" r:id="rId19" name="ComboBox10"/>
      </mc:Fallback>
    </mc:AlternateContent>
    <mc:AlternateContent xmlns:mc="http://schemas.openxmlformats.org/markup-compatibility/2006">
      <mc:Choice Requires="x14">
        <control shapeId="4302" r:id="rId20" name="ComboBox9">
          <controlPr defaultSize="0" autoLine="0" linkedCell="B36" listFillRange="Produtos_Pasta" r:id="rId7">
            <anchor moveWithCells="1">
              <from>
                <xdr:col>1</xdr:col>
                <xdr:colOff>19050</xdr:colOff>
                <xdr:row>35</xdr:row>
                <xdr:rowOff>0</xdr:rowOff>
              </from>
              <to>
                <xdr:col>1</xdr:col>
                <xdr:colOff>1724025</xdr:colOff>
                <xdr:row>36</xdr:row>
                <xdr:rowOff>9525</xdr:rowOff>
              </to>
            </anchor>
          </controlPr>
        </control>
      </mc:Choice>
      <mc:Fallback>
        <control shapeId="4302" r:id="rId20" name="ComboBox9"/>
      </mc:Fallback>
    </mc:AlternateContent>
    <mc:AlternateContent xmlns:mc="http://schemas.openxmlformats.org/markup-compatibility/2006">
      <mc:Choice Requires="x14">
        <control shapeId="4301" r:id="rId21" name="ComboBox8">
          <controlPr defaultSize="0" autoLine="0" linkedCell="B35" listFillRange="Produtos_Pasta" r:id="rId7">
            <anchor moveWithCells="1">
              <from>
                <xdr:col>1</xdr:col>
                <xdr:colOff>19050</xdr:colOff>
                <xdr:row>34</xdr:row>
                <xdr:rowOff>0</xdr:rowOff>
              </from>
              <to>
                <xdr:col>1</xdr:col>
                <xdr:colOff>1724025</xdr:colOff>
                <xdr:row>35</xdr:row>
                <xdr:rowOff>9525</xdr:rowOff>
              </to>
            </anchor>
          </controlPr>
        </control>
      </mc:Choice>
      <mc:Fallback>
        <control shapeId="4301" r:id="rId21" name="ComboBox8"/>
      </mc:Fallback>
    </mc:AlternateContent>
    <mc:AlternateContent xmlns:mc="http://schemas.openxmlformats.org/markup-compatibility/2006">
      <mc:Choice Requires="x14">
        <control shapeId="4300" r:id="rId22" name="ComboBox7">
          <controlPr defaultSize="0" autoLine="0" linkedCell="B34" listFillRange="Produtos_Pasta" r:id="rId7">
            <anchor moveWithCells="1">
              <from>
                <xdr:col>1</xdr:col>
                <xdr:colOff>19050</xdr:colOff>
                <xdr:row>33</xdr:row>
                <xdr:rowOff>0</xdr:rowOff>
              </from>
              <to>
                <xdr:col>1</xdr:col>
                <xdr:colOff>1724025</xdr:colOff>
                <xdr:row>34</xdr:row>
                <xdr:rowOff>9525</xdr:rowOff>
              </to>
            </anchor>
          </controlPr>
        </control>
      </mc:Choice>
      <mc:Fallback>
        <control shapeId="4300" r:id="rId22" name="ComboBox7"/>
      </mc:Fallback>
    </mc:AlternateContent>
    <mc:AlternateContent xmlns:mc="http://schemas.openxmlformats.org/markup-compatibility/2006">
      <mc:Choice Requires="x14">
        <control shapeId="4299" r:id="rId23" name="ComboBox6">
          <controlPr defaultSize="0" autoLine="0" linkedCell="B33" listFillRange="Produtos_Pasta" r:id="rId7">
            <anchor moveWithCells="1">
              <from>
                <xdr:col>1</xdr:col>
                <xdr:colOff>19050</xdr:colOff>
                <xdr:row>32</xdr:row>
                <xdr:rowOff>0</xdr:rowOff>
              </from>
              <to>
                <xdr:col>1</xdr:col>
                <xdr:colOff>1724025</xdr:colOff>
                <xdr:row>33</xdr:row>
                <xdr:rowOff>9525</xdr:rowOff>
              </to>
            </anchor>
          </controlPr>
        </control>
      </mc:Choice>
      <mc:Fallback>
        <control shapeId="4299" r:id="rId23" name="ComboBox6"/>
      </mc:Fallback>
    </mc:AlternateContent>
    <mc:AlternateContent xmlns:mc="http://schemas.openxmlformats.org/markup-compatibility/2006">
      <mc:Choice Requires="x14">
        <control shapeId="4298" r:id="rId24" name="ComboBox5">
          <controlPr defaultSize="0" autoLine="0" linkedCell="B32" listFillRange="Produtos_Pasta" r:id="rId7">
            <anchor moveWithCells="1">
              <from>
                <xdr:col>1</xdr:col>
                <xdr:colOff>19050</xdr:colOff>
                <xdr:row>31</xdr:row>
                <xdr:rowOff>0</xdr:rowOff>
              </from>
              <to>
                <xdr:col>1</xdr:col>
                <xdr:colOff>1724025</xdr:colOff>
                <xdr:row>32</xdr:row>
                <xdr:rowOff>9525</xdr:rowOff>
              </to>
            </anchor>
          </controlPr>
        </control>
      </mc:Choice>
      <mc:Fallback>
        <control shapeId="4298" r:id="rId24" name="ComboBox5"/>
      </mc:Fallback>
    </mc:AlternateContent>
    <mc:AlternateContent xmlns:mc="http://schemas.openxmlformats.org/markup-compatibility/2006">
      <mc:Choice Requires="x14">
        <control shapeId="4297" r:id="rId25" name="ComboBox4">
          <controlPr defaultSize="0" autoLine="0" linkedCell="B31" listFillRange="Produtos_Pasta" r:id="rId26">
            <anchor moveWithCells="1">
              <from>
                <xdr:col>1</xdr:col>
                <xdr:colOff>19050</xdr:colOff>
                <xdr:row>29</xdr:row>
                <xdr:rowOff>209550</xdr:rowOff>
              </from>
              <to>
                <xdr:col>1</xdr:col>
                <xdr:colOff>1724025</xdr:colOff>
                <xdr:row>31</xdr:row>
                <xdr:rowOff>0</xdr:rowOff>
              </to>
            </anchor>
          </controlPr>
        </control>
      </mc:Choice>
      <mc:Fallback>
        <control shapeId="4297" r:id="rId25" name="ComboBox4"/>
      </mc:Fallback>
    </mc:AlternateContent>
    <mc:AlternateContent xmlns:mc="http://schemas.openxmlformats.org/markup-compatibility/2006">
      <mc:Choice Requires="x14">
        <control shapeId="4294" r:id="rId27" name="ComboBox3">
          <controlPr defaultSize="0" autoLine="0" linkedCell="B30" listFillRange="Produtos_Pasta" r:id="rId28">
            <anchor moveWithCells="1">
              <from>
                <xdr:col>1</xdr:col>
                <xdr:colOff>19050</xdr:colOff>
                <xdr:row>28</xdr:row>
                <xdr:rowOff>361950</xdr:rowOff>
              </from>
              <to>
                <xdr:col>1</xdr:col>
                <xdr:colOff>1724025</xdr:colOff>
                <xdr:row>29</xdr:row>
                <xdr:rowOff>209550</xdr:rowOff>
              </to>
            </anchor>
          </controlPr>
        </control>
      </mc:Choice>
      <mc:Fallback>
        <control shapeId="4294" r:id="rId27" name="ComboBox3"/>
      </mc:Fallback>
    </mc:AlternateContent>
    <mc:AlternateContent xmlns:mc="http://schemas.openxmlformats.org/markup-compatibility/2006">
      <mc:Choice Requires="x14">
        <control shapeId="4123" r:id="rId29" name="ComboBox2">
          <controlPr locked="0" defaultSize="0" autoLine="0" autoPict="0" linkedCell="H9" listFillRange="INTERATELL" r:id="rId30">
            <anchor>
              <from>
                <xdr:col>7</xdr:col>
                <xdr:colOff>28575</xdr:colOff>
                <xdr:row>8</xdr:row>
                <xdr:rowOff>9525</xdr:rowOff>
              </from>
              <to>
                <xdr:col>11</xdr:col>
                <xdr:colOff>1000125</xdr:colOff>
                <xdr:row>9</xdr:row>
                <xdr:rowOff>0</xdr:rowOff>
              </to>
            </anchor>
          </controlPr>
        </control>
      </mc:Choice>
      <mc:Fallback>
        <control shapeId="4123" r:id="rId29" name="ComboBox2"/>
      </mc:Fallback>
    </mc:AlternateContent>
    <mc:AlternateContent xmlns:mc="http://schemas.openxmlformats.org/markup-compatibility/2006">
      <mc:Choice Requires="x14">
        <control shapeId="4097" r:id="rId31" name="ComboBox1">
          <controlPr locked="0" defaultSize="0" autoLine="0" autoPict="0" linkedCell="A9" listFillRange="Fornecedores_Pasta" r:id="rId32">
            <anchor>
              <from>
                <xdr:col>0</xdr:col>
                <xdr:colOff>28575</xdr:colOff>
                <xdr:row>8</xdr:row>
                <xdr:rowOff>9525</xdr:rowOff>
              </from>
              <to>
                <xdr:col>5</xdr:col>
                <xdr:colOff>9525</xdr:colOff>
                <xdr:row>9</xdr:row>
                <xdr:rowOff>0</xdr:rowOff>
              </to>
            </anchor>
          </controlPr>
        </control>
      </mc:Choice>
      <mc:Fallback>
        <control shapeId="4097" r:id="rId31" name="Combo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B2:L43"/>
  <sheetViews>
    <sheetView showGridLines="0" workbookViewId="0">
      <selection activeCell="B21" sqref="B21"/>
    </sheetView>
  </sheetViews>
  <sheetFormatPr defaultRowHeight="15"/>
  <cols>
    <col min="2" max="2" width="34.28515625" bestFit="1" customWidth="1"/>
    <col min="4" max="4" width="34.28515625" bestFit="1" customWidth="1"/>
    <col min="6" max="7" width="17" customWidth="1"/>
    <col min="9" max="9" width="18.5703125" bestFit="1" customWidth="1"/>
    <col min="10" max="10" width="18.42578125" bestFit="1" customWidth="1"/>
    <col min="11" max="11" width="17.140625" bestFit="1" customWidth="1"/>
    <col min="12" max="12" width="18.42578125" bestFit="1" customWidth="1"/>
  </cols>
  <sheetData>
    <row r="2" spans="2:12" ht="15.75">
      <c r="B2" s="3" t="s">
        <v>38</v>
      </c>
      <c r="D2" s="3" t="s">
        <v>119</v>
      </c>
      <c r="F2" s="3" t="s">
        <v>38</v>
      </c>
      <c r="G2" s="3" t="s">
        <v>119</v>
      </c>
      <c r="I2" s="3" t="s">
        <v>120</v>
      </c>
      <c r="J2" s="3" t="s">
        <v>121</v>
      </c>
      <c r="K2" s="3" t="s">
        <v>122</v>
      </c>
      <c r="L2" s="3" t="s">
        <v>123</v>
      </c>
    </row>
    <row r="3" spans="2:12">
      <c r="B3" s="2" t="s">
        <v>124</v>
      </c>
      <c r="D3" s="2" t="s">
        <v>125</v>
      </c>
      <c r="F3" s="2" t="s">
        <v>126</v>
      </c>
      <c r="G3" s="2" t="s">
        <v>126</v>
      </c>
      <c r="I3" s="2" t="s">
        <v>127</v>
      </c>
      <c r="J3" s="2" t="s">
        <v>128</v>
      </c>
      <c r="K3" s="2" t="s">
        <v>128</v>
      </c>
      <c r="L3" s="2" t="s">
        <v>128</v>
      </c>
    </row>
    <row r="4" spans="2:12">
      <c r="B4" s="2" t="s">
        <v>129</v>
      </c>
      <c r="D4" s="2" t="s">
        <v>130</v>
      </c>
      <c r="F4" s="2" t="s">
        <v>131</v>
      </c>
    </row>
    <row r="5" spans="2:12">
      <c r="B5" s="2" t="s">
        <v>132</v>
      </c>
      <c r="D5" s="2" t="s">
        <v>133</v>
      </c>
      <c r="F5" s="2" t="s">
        <v>134</v>
      </c>
    </row>
    <row r="6" spans="2:12">
      <c r="B6" s="2" t="s">
        <v>135</v>
      </c>
      <c r="D6" s="2" t="s">
        <v>136</v>
      </c>
      <c r="F6" s="2" t="s">
        <v>137</v>
      </c>
    </row>
    <row r="7" spans="2:12">
      <c r="B7" s="2" t="s">
        <v>138</v>
      </c>
      <c r="D7" s="2" t="s">
        <v>139</v>
      </c>
    </row>
    <row r="8" spans="2:12">
      <c r="B8" s="2" t="s">
        <v>140</v>
      </c>
      <c r="D8" s="2" t="s">
        <v>141</v>
      </c>
    </row>
    <row r="9" spans="2:12">
      <c r="B9" s="2" t="s">
        <v>142</v>
      </c>
      <c r="D9" s="2" t="s">
        <v>143</v>
      </c>
    </row>
    <row r="10" spans="2:12">
      <c r="B10" s="2" t="s">
        <v>144</v>
      </c>
      <c r="D10" s="2" t="s">
        <v>145</v>
      </c>
    </row>
    <row r="11" spans="2:12">
      <c r="B11" s="2" t="s">
        <v>146</v>
      </c>
      <c r="D11" s="2" t="s">
        <v>147</v>
      </c>
    </row>
    <row r="12" spans="2:12">
      <c r="B12" s="2" t="s">
        <v>148</v>
      </c>
      <c r="D12" s="2" t="s">
        <v>149</v>
      </c>
    </row>
    <row r="13" spans="2:12">
      <c r="B13" s="2" t="s">
        <v>150</v>
      </c>
      <c r="D13" s="2" t="s">
        <v>151</v>
      </c>
    </row>
    <row r="14" spans="2:12">
      <c r="B14" s="2" t="s">
        <v>152</v>
      </c>
      <c r="D14" s="2"/>
    </row>
    <row r="15" spans="2:12">
      <c r="B15" s="2" t="s">
        <v>153</v>
      </c>
      <c r="D15" s="2" t="s">
        <v>154</v>
      </c>
    </row>
    <row r="16" spans="2:12">
      <c r="B16" s="2" t="s">
        <v>155</v>
      </c>
      <c r="D16" s="2" t="s">
        <v>156</v>
      </c>
    </row>
    <row r="17" spans="2:2">
      <c r="B17" s="2" t="s">
        <v>157</v>
      </c>
    </row>
    <row r="18" spans="2:2">
      <c r="B18" s="2" t="s">
        <v>158</v>
      </c>
    </row>
    <row r="19" spans="2:2">
      <c r="B19" s="2" t="s">
        <v>159</v>
      </c>
    </row>
    <row r="20" spans="2:2">
      <c r="B20" s="2" t="s">
        <v>160</v>
      </c>
    </row>
    <row r="21" spans="2:2">
      <c r="B21" s="2" t="s">
        <v>161</v>
      </c>
    </row>
    <row r="22" spans="2:2">
      <c r="B22" s="2" t="s">
        <v>162</v>
      </c>
    </row>
    <row r="23" spans="2:2">
      <c r="B23" s="2" t="s">
        <v>163</v>
      </c>
    </row>
    <row r="24" spans="2:2">
      <c r="B24" s="2" t="s">
        <v>164</v>
      </c>
    </row>
    <row r="25" spans="2:2">
      <c r="B25" s="2" t="s">
        <v>165</v>
      </c>
    </row>
    <row r="26" spans="2:2">
      <c r="B26" s="2" t="s">
        <v>166</v>
      </c>
    </row>
    <row r="27" spans="2:2">
      <c r="B27" s="2" t="s">
        <v>167</v>
      </c>
    </row>
    <row r="28" spans="2:2">
      <c r="B28" s="2" t="s">
        <v>168</v>
      </c>
    </row>
    <row r="29" spans="2:2">
      <c r="B29" s="2" t="s">
        <v>169</v>
      </c>
    </row>
    <row r="30" spans="2:2">
      <c r="B30" s="2" t="s">
        <v>170</v>
      </c>
    </row>
    <row r="31" spans="2:2">
      <c r="B31" s="2" t="s">
        <v>171</v>
      </c>
    </row>
    <row r="32" spans="2:2">
      <c r="B32" s="2" t="s">
        <v>172</v>
      </c>
    </row>
    <row r="33" spans="2:2">
      <c r="B33" s="2" t="s">
        <v>173</v>
      </c>
    </row>
    <row r="34" spans="2:2">
      <c r="B34" s="2" t="s">
        <v>174</v>
      </c>
    </row>
    <row r="35" spans="2:2">
      <c r="B35" s="2" t="s">
        <v>175</v>
      </c>
    </row>
    <row r="36" spans="2:2">
      <c r="B36" s="2" t="s">
        <v>176</v>
      </c>
    </row>
    <row r="37" spans="2:2">
      <c r="B37" s="2" t="s">
        <v>177</v>
      </c>
    </row>
    <row r="38" spans="2:2">
      <c r="B38" s="2" t="s">
        <v>178</v>
      </c>
    </row>
    <row r="39" spans="2:2">
      <c r="B39" s="2" t="s">
        <v>179</v>
      </c>
    </row>
    <row r="40" spans="2:2">
      <c r="B40" s="2" t="s">
        <v>180</v>
      </c>
    </row>
    <row r="41" spans="2:2">
      <c r="B41" s="2" t="s">
        <v>181</v>
      </c>
    </row>
    <row r="42" spans="2:2">
      <c r="B42" s="2" t="s">
        <v>182</v>
      </c>
    </row>
    <row r="43" spans="2:2">
      <c r="B43" s="2" t="s">
        <v>183</v>
      </c>
    </row>
  </sheetData>
  <phoneticPr fontId="2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32FA-EA7E-4D0B-A45B-F519AC859BF8}">
  <sheetPr codeName="Planilha3"/>
  <dimension ref="A1:O87"/>
  <sheetViews>
    <sheetView workbookViewId="0">
      <selection activeCell="A24" sqref="A24"/>
    </sheetView>
  </sheetViews>
  <sheetFormatPr defaultRowHeight="15"/>
  <cols>
    <col min="1" max="1" width="67.28515625" bestFit="1" customWidth="1"/>
    <col min="2" max="2" width="19.140625" bestFit="1" customWidth="1"/>
    <col min="3" max="3" width="18" bestFit="1" customWidth="1"/>
    <col min="4" max="4" width="37.7109375" bestFit="1" customWidth="1"/>
    <col min="5" max="5" width="27.85546875" bestFit="1" customWidth="1"/>
    <col min="6" max="7" width="19.85546875" bestFit="1" customWidth="1"/>
    <col min="8" max="8" width="41.5703125" bestFit="1" customWidth="1"/>
    <col min="9" max="9" width="17.7109375" bestFit="1" customWidth="1"/>
    <col min="10" max="10" width="53" bestFit="1" customWidth="1"/>
    <col min="11" max="11" width="53.85546875" bestFit="1" customWidth="1"/>
    <col min="12" max="12" width="25.85546875" bestFit="1" customWidth="1"/>
    <col min="13" max="13" width="17.28515625" bestFit="1" customWidth="1"/>
    <col min="14" max="14" width="14.5703125" bestFit="1" customWidth="1"/>
    <col min="15" max="15" width="81.140625" bestFit="1" customWidth="1"/>
  </cols>
  <sheetData>
    <row r="1" spans="1:15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</row>
    <row r="2" spans="1:15">
      <c r="A2" t="s">
        <v>199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200</v>
      </c>
      <c r="O2" t="s">
        <v>201</v>
      </c>
    </row>
    <row r="3" spans="1:15">
      <c r="A3" t="s">
        <v>202</v>
      </c>
      <c r="B3" t="s">
        <v>203</v>
      </c>
      <c r="C3" t="s">
        <v>204</v>
      </c>
      <c r="D3" t="s">
        <v>205</v>
      </c>
      <c r="E3" t="s">
        <v>206</v>
      </c>
      <c r="F3" t="s">
        <v>207</v>
      </c>
      <c r="G3" t="s">
        <v>208</v>
      </c>
      <c r="H3" t="s">
        <v>209</v>
      </c>
      <c r="I3" t="s">
        <v>210</v>
      </c>
      <c r="J3" t="s">
        <v>211</v>
      </c>
      <c r="K3" t="s">
        <v>212</v>
      </c>
      <c r="L3" t="s">
        <v>213</v>
      </c>
      <c r="M3" t="s">
        <v>53</v>
      </c>
      <c r="N3" t="s">
        <v>214</v>
      </c>
      <c r="O3" t="s">
        <v>215</v>
      </c>
    </row>
    <row r="4" spans="1:15">
      <c r="A4" t="s">
        <v>216</v>
      </c>
      <c r="B4" t="s">
        <v>217</v>
      </c>
      <c r="C4" t="s">
        <v>218</v>
      </c>
      <c r="D4" t="s">
        <v>219</v>
      </c>
      <c r="E4" t="s">
        <v>220</v>
      </c>
      <c r="F4" t="s">
        <v>221</v>
      </c>
      <c r="H4" t="s">
        <v>222</v>
      </c>
      <c r="I4" t="s">
        <v>223</v>
      </c>
      <c r="J4" t="s">
        <v>224</v>
      </c>
      <c r="K4" t="s">
        <v>225</v>
      </c>
      <c r="L4" t="s">
        <v>226</v>
      </c>
      <c r="M4" t="s">
        <v>53</v>
      </c>
      <c r="N4" t="s">
        <v>227</v>
      </c>
      <c r="O4" t="s">
        <v>228</v>
      </c>
    </row>
    <row r="5" spans="1:15">
      <c r="A5" t="s">
        <v>229</v>
      </c>
      <c r="B5" t="s">
        <v>230</v>
      </c>
      <c r="C5" t="s">
        <v>231</v>
      </c>
      <c r="D5" t="s">
        <v>219</v>
      </c>
      <c r="E5" t="s">
        <v>220</v>
      </c>
      <c r="F5" t="s">
        <v>221</v>
      </c>
      <c r="H5" t="s">
        <v>222</v>
      </c>
      <c r="I5" t="s">
        <v>223</v>
      </c>
      <c r="J5" t="s">
        <v>224</v>
      </c>
      <c r="K5" t="s">
        <v>225</v>
      </c>
      <c r="L5" t="s">
        <v>226</v>
      </c>
      <c r="M5" t="s">
        <v>53</v>
      </c>
      <c r="N5" t="s">
        <v>227</v>
      </c>
      <c r="O5" t="s">
        <v>228</v>
      </c>
    </row>
    <row r="6" spans="1:15">
      <c r="A6" t="s">
        <v>232</v>
      </c>
      <c r="B6" t="s">
        <v>233</v>
      </c>
      <c r="C6" t="s">
        <v>234</v>
      </c>
      <c r="D6" t="s">
        <v>235</v>
      </c>
      <c r="E6" t="s">
        <v>236</v>
      </c>
      <c r="F6" t="s">
        <v>237</v>
      </c>
      <c r="G6" t="s">
        <v>238</v>
      </c>
      <c r="H6" t="s">
        <v>239</v>
      </c>
      <c r="I6" t="s">
        <v>240</v>
      </c>
      <c r="J6" t="s">
        <v>241</v>
      </c>
      <c r="K6" t="s">
        <v>242</v>
      </c>
      <c r="L6" t="s">
        <v>243</v>
      </c>
      <c r="M6" t="s">
        <v>244</v>
      </c>
      <c r="N6" t="s">
        <v>245</v>
      </c>
      <c r="O6" t="s">
        <v>246</v>
      </c>
    </row>
    <row r="7" spans="1:15">
      <c r="A7" t="s">
        <v>247</v>
      </c>
      <c r="B7" t="s">
        <v>248</v>
      </c>
      <c r="C7" t="s">
        <v>249</v>
      </c>
      <c r="D7" t="s">
        <v>250</v>
      </c>
      <c r="E7" t="s">
        <v>251</v>
      </c>
      <c r="F7" t="s">
        <v>252</v>
      </c>
      <c r="G7" t="s">
        <v>253</v>
      </c>
      <c r="H7" t="s">
        <v>254</v>
      </c>
      <c r="I7" t="s">
        <v>255</v>
      </c>
      <c r="J7" t="s">
        <v>256</v>
      </c>
      <c r="K7" t="s">
        <v>257</v>
      </c>
      <c r="L7" t="s">
        <v>258</v>
      </c>
      <c r="M7" t="s">
        <v>39</v>
      </c>
      <c r="N7" t="s">
        <v>259</v>
      </c>
      <c r="O7" t="s">
        <v>260</v>
      </c>
    </row>
    <row r="8" spans="1:15">
      <c r="A8" t="s">
        <v>261</v>
      </c>
      <c r="B8" t="s">
        <v>262</v>
      </c>
      <c r="C8" t="s">
        <v>263</v>
      </c>
      <c r="D8" t="s">
        <v>264</v>
      </c>
      <c r="F8" t="s">
        <v>265</v>
      </c>
      <c r="G8" t="s">
        <v>266</v>
      </c>
      <c r="H8" t="s">
        <v>267</v>
      </c>
      <c r="I8" t="s">
        <v>268</v>
      </c>
      <c r="J8" t="s">
        <v>241</v>
      </c>
      <c r="K8" t="s">
        <v>269</v>
      </c>
      <c r="L8" t="s">
        <v>258</v>
      </c>
      <c r="M8" t="s">
        <v>39</v>
      </c>
      <c r="N8" t="s">
        <v>270</v>
      </c>
      <c r="O8" t="s">
        <v>271</v>
      </c>
    </row>
    <row r="9" spans="1:15">
      <c r="A9" t="s">
        <v>272</v>
      </c>
      <c r="B9" t="s">
        <v>273</v>
      </c>
      <c r="C9" t="s">
        <v>274</v>
      </c>
      <c r="D9" t="s">
        <v>275</v>
      </c>
      <c r="E9" t="s">
        <v>276</v>
      </c>
      <c r="F9" t="s">
        <v>277</v>
      </c>
      <c r="G9" t="s">
        <v>278</v>
      </c>
      <c r="H9" t="s">
        <v>279</v>
      </c>
      <c r="I9" t="s">
        <v>280</v>
      </c>
      <c r="J9" t="s">
        <v>281</v>
      </c>
      <c r="K9" t="s">
        <v>282</v>
      </c>
      <c r="L9" t="s">
        <v>283</v>
      </c>
      <c r="M9" t="s">
        <v>53</v>
      </c>
      <c r="N9" t="s">
        <v>284</v>
      </c>
      <c r="O9" t="s">
        <v>285</v>
      </c>
    </row>
    <row r="10" spans="1:15">
      <c r="A10" t="s">
        <v>286</v>
      </c>
      <c r="B10" t="s">
        <v>287</v>
      </c>
      <c r="C10" t="s">
        <v>288</v>
      </c>
      <c r="D10" t="s">
        <v>289</v>
      </c>
      <c r="E10" t="s">
        <v>290</v>
      </c>
      <c r="F10" t="s">
        <v>291</v>
      </c>
      <c r="H10" t="s">
        <v>292</v>
      </c>
      <c r="I10" t="s">
        <v>293</v>
      </c>
      <c r="J10" t="s">
        <v>294</v>
      </c>
      <c r="K10" t="s">
        <v>295</v>
      </c>
      <c r="L10" t="s">
        <v>296</v>
      </c>
      <c r="M10" t="s">
        <v>39</v>
      </c>
      <c r="N10" t="s">
        <v>297</v>
      </c>
      <c r="O10" t="s">
        <v>298</v>
      </c>
    </row>
    <row r="11" spans="1:15">
      <c r="A11" t="s">
        <v>299</v>
      </c>
      <c r="B11" t="s">
        <v>300</v>
      </c>
      <c r="C11" t="s">
        <v>301</v>
      </c>
      <c r="D11" t="s">
        <v>302</v>
      </c>
      <c r="F11" t="s">
        <v>303</v>
      </c>
      <c r="G11" t="s">
        <v>304</v>
      </c>
      <c r="H11" t="s">
        <v>305</v>
      </c>
      <c r="I11" t="s">
        <v>306</v>
      </c>
      <c r="J11" t="s">
        <v>307</v>
      </c>
      <c r="K11" t="s">
        <v>308</v>
      </c>
      <c r="L11" t="s">
        <v>258</v>
      </c>
      <c r="M11" t="s">
        <v>39</v>
      </c>
      <c r="N11" t="s">
        <v>309</v>
      </c>
      <c r="O11" t="s">
        <v>310</v>
      </c>
    </row>
    <row r="12" spans="1:15">
      <c r="A12" t="s">
        <v>311</v>
      </c>
      <c r="B12" t="s">
        <v>312</v>
      </c>
      <c r="C12" t="s">
        <v>313</v>
      </c>
      <c r="D12" t="s">
        <v>314</v>
      </c>
      <c r="E12" t="s">
        <v>315</v>
      </c>
      <c r="F12" t="s">
        <v>316</v>
      </c>
      <c r="H12" t="s">
        <v>317</v>
      </c>
      <c r="I12" t="s">
        <v>318</v>
      </c>
      <c r="J12" t="s">
        <v>319</v>
      </c>
      <c r="K12" t="s">
        <v>320</v>
      </c>
      <c r="L12" t="s">
        <v>226</v>
      </c>
      <c r="M12" t="s">
        <v>53</v>
      </c>
      <c r="N12" t="s">
        <v>321</v>
      </c>
      <c r="O12" t="s">
        <v>322</v>
      </c>
    </row>
    <row r="13" spans="1:15">
      <c r="A13" t="s">
        <v>323</v>
      </c>
      <c r="B13" t="s">
        <v>324</v>
      </c>
      <c r="C13" t="s">
        <v>325</v>
      </c>
      <c r="D13" t="s">
        <v>314</v>
      </c>
      <c r="E13" t="s">
        <v>315</v>
      </c>
      <c r="F13" t="s">
        <v>316</v>
      </c>
      <c r="H13" t="s">
        <v>317</v>
      </c>
      <c r="I13" t="s">
        <v>318</v>
      </c>
      <c r="J13" t="s">
        <v>319</v>
      </c>
      <c r="K13" t="s">
        <v>320</v>
      </c>
      <c r="L13" t="s">
        <v>226</v>
      </c>
      <c r="M13" t="s">
        <v>53</v>
      </c>
      <c r="N13" t="s">
        <v>321</v>
      </c>
      <c r="O13" t="s">
        <v>322</v>
      </c>
    </row>
    <row r="14" spans="1:15">
      <c r="A14" t="s">
        <v>326</v>
      </c>
      <c r="B14" t="s">
        <v>327</v>
      </c>
      <c r="C14" t="s">
        <v>328</v>
      </c>
      <c r="D14" t="s">
        <v>314</v>
      </c>
      <c r="E14" t="s">
        <v>315</v>
      </c>
      <c r="F14" t="s">
        <v>316</v>
      </c>
      <c r="H14" t="s">
        <v>329</v>
      </c>
      <c r="I14" t="s">
        <v>330</v>
      </c>
      <c r="J14" t="s">
        <v>331</v>
      </c>
      <c r="K14" t="s">
        <v>332</v>
      </c>
      <c r="L14" t="s">
        <v>333</v>
      </c>
      <c r="M14" t="s">
        <v>39</v>
      </c>
      <c r="N14" t="s">
        <v>334</v>
      </c>
      <c r="O14" t="s">
        <v>335</v>
      </c>
    </row>
    <row r="15" spans="1:15">
      <c r="A15" t="s">
        <v>336</v>
      </c>
      <c r="B15" t="s">
        <v>337</v>
      </c>
      <c r="C15" t="s">
        <v>338</v>
      </c>
      <c r="D15" t="s">
        <v>314</v>
      </c>
      <c r="E15" t="s">
        <v>315</v>
      </c>
      <c r="F15" t="s">
        <v>316</v>
      </c>
      <c r="H15" t="s">
        <v>339</v>
      </c>
      <c r="I15" t="s">
        <v>340</v>
      </c>
      <c r="J15" t="s">
        <v>341</v>
      </c>
      <c r="K15" t="s">
        <v>342</v>
      </c>
      <c r="L15" t="s">
        <v>40</v>
      </c>
      <c r="M15" t="s">
        <v>39</v>
      </c>
      <c r="N15" t="s">
        <v>343</v>
      </c>
      <c r="O15" t="s">
        <v>344</v>
      </c>
    </row>
    <row r="16" spans="1:15">
      <c r="A16" t="s">
        <v>345</v>
      </c>
      <c r="B16" t="s">
        <v>346</v>
      </c>
      <c r="C16" t="s">
        <v>347</v>
      </c>
      <c r="D16" t="s">
        <v>314</v>
      </c>
      <c r="E16" t="s">
        <v>315</v>
      </c>
      <c r="F16" t="s">
        <v>316</v>
      </c>
      <c r="G16" t="s">
        <v>348</v>
      </c>
      <c r="H16" t="s">
        <v>339</v>
      </c>
      <c r="I16" t="s">
        <v>340</v>
      </c>
      <c r="J16" t="s">
        <v>341</v>
      </c>
      <c r="K16" t="s">
        <v>342</v>
      </c>
      <c r="L16" t="s">
        <v>40</v>
      </c>
      <c r="M16" t="s">
        <v>39</v>
      </c>
      <c r="N16" t="s">
        <v>343</v>
      </c>
      <c r="O16" t="s">
        <v>344</v>
      </c>
    </row>
    <row r="17" spans="1:15">
      <c r="A17" t="s">
        <v>29</v>
      </c>
      <c r="B17" t="s">
        <v>30</v>
      </c>
      <c r="C17" t="s">
        <v>349</v>
      </c>
      <c r="D17" t="s">
        <v>32</v>
      </c>
      <c r="E17" t="s">
        <v>350</v>
      </c>
      <c r="F17" t="s">
        <v>351</v>
      </c>
      <c r="G17" t="s">
        <v>352</v>
      </c>
      <c r="H17" t="s">
        <v>35</v>
      </c>
      <c r="I17" t="s">
        <v>353</v>
      </c>
      <c r="J17" t="s">
        <v>36</v>
      </c>
      <c r="K17" t="s">
        <v>37</v>
      </c>
      <c r="L17" t="s">
        <v>38</v>
      </c>
      <c r="M17" t="s">
        <v>39</v>
      </c>
      <c r="N17" t="s">
        <v>41</v>
      </c>
      <c r="O17" t="s">
        <v>354</v>
      </c>
    </row>
    <row r="18" spans="1:15">
      <c r="A18" t="s">
        <v>355</v>
      </c>
      <c r="B18" t="s">
        <v>356</v>
      </c>
      <c r="C18" t="s">
        <v>357</v>
      </c>
      <c r="D18" t="s">
        <v>32</v>
      </c>
      <c r="E18" t="s">
        <v>350</v>
      </c>
      <c r="F18" t="s">
        <v>351</v>
      </c>
      <c r="G18" t="s">
        <v>352</v>
      </c>
      <c r="H18" t="s">
        <v>358</v>
      </c>
      <c r="I18" t="s">
        <v>359</v>
      </c>
      <c r="J18" t="s">
        <v>360</v>
      </c>
      <c r="K18" t="s">
        <v>361</v>
      </c>
      <c r="L18" t="s">
        <v>296</v>
      </c>
      <c r="M18" t="s">
        <v>39</v>
      </c>
      <c r="N18" t="s">
        <v>362</v>
      </c>
      <c r="O18" t="s">
        <v>363</v>
      </c>
    </row>
    <row r="19" spans="1:15">
      <c r="A19" t="s">
        <v>364</v>
      </c>
      <c r="B19" t="s">
        <v>365</v>
      </c>
      <c r="C19" t="s">
        <v>48</v>
      </c>
      <c r="D19" t="s">
        <v>32</v>
      </c>
      <c r="E19" t="s">
        <v>350</v>
      </c>
      <c r="F19" t="s">
        <v>351</v>
      </c>
      <c r="G19" t="s">
        <v>352</v>
      </c>
      <c r="H19" t="s">
        <v>366</v>
      </c>
      <c r="I19" t="s">
        <v>367</v>
      </c>
      <c r="J19" t="s">
        <v>368</v>
      </c>
      <c r="K19" t="s">
        <v>369</v>
      </c>
      <c r="L19" t="s">
        <v>370</v>
      </c>
      <c r="M19" t="s">
        <v>53</v>
      </c>
      <c r="N19" t="s">
        <v>48</v>
      </c>
      <c r="O19" t="s">
        <v>371</v>
      </c>
    </row>
    <row r="20" spans="1:15">
      <c r="A20" t="s">
        <v>372</v>
      </c>
      <c r="B20" t="s">
        <v>373</v>
      </c>
      <c r="C20" t="s">
        <v>374</v>
      </c>
      <c r="D20" t="s">
        <v>32</v>
      </c>
      <c r="E20" t="s">
        <v>350</v>
      </c>
      <c r="F20" t="s">
        <v>351</v>
      </c>
      <c r="G20" t="s">
        <v>352</v>
      </c>
      <c r="H20" t="s">
        <v>375</v>
      </c>
      <c r="I20" t="s">
        <v>376</v>
      </c>
      <c r="J20" t="s">
        <v>377</v>
      </c>
      <c r="K20" t="s">
        <v>378</v>
      </c>
      <c r="L20" t="s">
        <v>40</v>
      </c>
      <c r="M20" t="s">
        <v>39</v>
      </c>
      <c r="N20" t="s">
        <v>41</v>
      </c>
      <c r="O20" t="s">
        <v>379</v>
      </c>
    </row>
    <row r="21" spans="1:15">
      <c r="A21" t="s">
        <v>380</v>
      </c>
      <c r="B21" t="s">
        <v>381</v>
      </c>
      <c r="C21" t="s">
        <v>382</v>
      </c>
      <c r="D21" t="s">
        <v>383</v>
      </c>
      <c r="E21" t="s">
        <v>384</v>
      </c>
      <c r="F21" t="s">
        <v>385</v>
      </c>
      <c r="G21" t="s">
        <v>386</v>
      </c>
      <c r="H21" t="s">
        <v>387</v>
      </c>
      <c r="I21" t="s">
        <v>388</v>
      </c>
      <c r="J21" t="s">
        <v>241</v>
      </c>
      <c r="K21" t="s">
        <v>389</v>
      </c>
      <c r="L21" t="s">
        <v>390</v>
      </c>
      <c r="M21" t="s">
        <v>39</v>
      </c>
      <c r="N21" t="s">
        <v>391</v>
      </c>
      <c r="O21" t="s">
        <v>392</v>
      </c>
    </row>
    <row r="22" spans="1:15">
      <c r="A22" t="s">
        <v>393</v>
      </c>
      <c r="B22" t="s">
        <v>394</v>
      </c>
      <c r="C22" t="s">
        <v>395</v>
      </c>
      <c r="D22" t="s">
        <v>396</v>
      </c>
      <c r="E22" t="s">
        <v>397</v>
      </c>
      <c r="F22" t="s">
        <v>398</v>
      </c>
      <c r="H22" t="s">
        <v>399</v>
      </c>
      <c r="I22" t="s">
        <v>400</v>
      </c>
      <c r="J22" t="s">
        <v>401</v>
      </c>
      <c r="K22" t="s">
        <v>402</v>
      </c>
      <c r="L22" t="s">
        <v>403</v>
      </c>
      <c r="M22" t="s">
        <v>39</v>
      </c>
      <c r="N22" t="s">
        <v>404</v>
      </c>
      <c r="O22" t="s">
        <v>405</v>
      </c>
    </row>
    <row r="23" spans="1:15">
      <c r="A23" t="s">
        <v>406</v>
      </c>
      <c r="B23" t="s">
        <v>407</v>
      </c>
      <c r="C23" t="s">
        <v>408</v>
      </c>
      <c r="D23" t="s">
        <v>409</v>
      </c>
      <c r="E23" t="s">
        <v>410</v>
      </c>
      <c r="F23" t="s">
        <v>411</v>
      </c>
      <c r="G23" t="s">
        <v>412</v>
      </c>
      <c r="H23" t="s">
        <v>413</v>
      </c>
      <c r="I23" t="s">
        <v>414</v>
      </c>
      <c r="J23" t="s">
        <v>415</v>
      </c>
      <c r="K23" t="s">
        <v>416</v>
      </c>
      <c r="L23" t="s">
        <v>296</v>
      </c>
      <c r="M23" t="s">
        <v>39</v>
      </c>
      <c r="N23" t="s">
        <v>417</v>
      </c>
      <c r="O23" t="s">
        <v>418</v>
      </c>
    </row>
    <row r="24" spans="1:15">
      <c r="A24" t="s">
        <v>419</v>
      </c>
      <c r="B24" t="s">
        <v>420</v>
      </c>
      <c r="C24" t="s">
        <v>421</v>
      </c>
      <c r="D24" t="s">
        <v>422</v>
      </c>
      <c r="E24" t="s">
        <v>423</v>
      </c>
      <c r="G24" t="s">
        <v>424</v>
      </c>
      <c r="H24" t="s">
        <v>425</v>
      </c>
      <c r="I24" t="s">
        <v>426</v>
      </c>
      <c r="J24" t="s">
        <v>241</v>
      </c>
      <c r="K24" t="s">
        <v>427</v>
      </c>
      <c r="L24" t="s">
        <v>38</v>
      </c>
      <c r="M24" t="s">
        <v>39</v>
      </c>
      <c r="N24" t="s">
        <v>428</v>
      </c>
      <c r="O24" t="s">
        <v>429</v>
      </c>
    </row>
    <row r="25" spans="1:15">
      <c r="A25" t="s">
        <v>430</v>
      </c>
      <c r="B25" t="s">
        <v>431</v>
      </c>
      <c r="C25" t="s">
        <v>432</v>
      </c>
      <c r="D25" t="s">
        <v>433</v>
      </c>
      <c r="E25" t="s">
        <v>434</v>
      </c>
      <c r="F25" t="s">
        <v>435</v>
      </c>
      <c r="G25" t="s">
        <v>436</v>
      </c>
      <c r="H25" t="s">
        <v>437</v>
      </c>
      <c r="I25" t="s">
        <v>438</v>
      </c>
      <c r="J25" t="s">
        <v>439</v>
      </c>
      <c r="K25" t="s">
        <v>440</v>
      </c>
      <c r="L25" t="s">
        <v>296</v>
      </c>
      <c r="M25" t="s">
        <v>39</v>
      </c>
      <c r="N25" t="s">
        <v>441</v>
      </c>
      <c r="O25" t="s">
        <v>442</v>
      </c>
    </row>
    <row r="26" spans="1:15">
      <c r="A26" t="s">
        <v>443</v>
      </c>
      <c r="B26" t="s">
        <v>444</v>
      </c>
      <c r="C26" t="s">
        <v>445</v>
      </c>
      <c r="D26" t="s">
        <v>446</v>
      </c>
      <c r="E26" t="s">
        <v>447</v>
      </c>
      <c r="F26" t="s">
        <v>448</v>
      </c>
      <c r="G26" t="s">
        <v>449</v>
      </c>
      <c r="H26" t="s">
        <v>450</v>
      </c>
      <c r="I26" t="s">
        <v>451</v>
      </c>
      <c r="J26" t="s">
        <v>452</v>
      </c>
      <c r="K26" t="s">
        <v>453</v>
      </c>
      <c r="L26" t="s">
        <v>258</v>
      </c>
      <c r="M26" t="s">
        <v>39</v>
      </c>
      <c r="N26" t="s">
        <v>454</v>
      </c>
      <c r="O26" t="s">
        <v>455</v>
      </c>
    </row>
    <row r="27" spans="1:15">
      <c r="A27" t="s">
        <v>456</v>
      </c>
      <c r="B27" t="s">
        <v>457</v>
      </c>
      <c r="C27" t="s">
        <v>458</v>
      </c>
      <c r="D27" t="s">
        <v>459</v>
      </c>
      <c r="E27" t="s">
        <v>460</v>
      </c>
      <c r="F27" t="s">
        <v>461</v>
      </c>
      <c r="G27" t="s">
        <v>462</v>
      </c>
      <c r="H27" t="s">
        <v>463</v>
      </c>
      <c r="I27" t="s">
        <v>464</v>
      </c>
      <c r="J27" t="s">
        <v>465</v>
      </c>
      <c r="K27" t="s">
        <v>257</v>
      </c>
      <c r="L27" t="s">
        <v>296</v>
      </c>
      <c r="M27" t="s">
        <v>39</v>
      </c>
      <c r="N27" t="s">
        <v>466</v>
      </c>
      <c r="O27" t="s">
        <v>467</v>
      </c>
    </row>
    <row r="28" spans="1:15">
      <c r="A28" t="s">
        <v>468</v>
      </c>
      <c r="B28" t="s">
        <v>469</v>
      </c>
      <c r="C28" t="s">
        <v>470</v>
      </c>
      <c r="D28" t="s">
        <v>471</v>
      </c>
      <c r="E28" t="s">
        <v>472</v>
      </c>
      <c r="G28" t="s">
        <v>473</v>
      </c>
      <c r="H28" t="s">
        <v>474</v>
      </c>
      <c r="I28" t="s">
        <v>475</v>
      </c>
      <c r="K28" t="s">
        <v>476</v>
      </c>
      <c r="L28" t="s">
        <v>477</v>
      </c>
      <c r="M28" t="s">
        <v>478</v>
      </c>
      <c r="N28" t="s">
        <v>479</v>
      </c>
      <c r="O28" t="s">
        <v>480</v>
      </c>
    </row>
    <row r="29" spans="1:15">
      <c r="A29" t="s">
        <v>481</v>
      </c>
      <c r="B29" t="s">
        <v>482</v>
      </c>
      <c r="C29" t="s">
        <v>483</v>
      </c>
      <c r="D29" t="s">
        <v>484</v>
      </c>
      <c r="E29" t="s">
        <v>485</v>
      </c>
      <c r="F29" t="s">
        <v>486</v>
      </c>
      <c r="G29" t="s">
        <v>487</v>
      </c>
      <c r="H29" t="s">
        <v>488</v>
      </c>
      <c r="I29" t="s">
        <v>318</v>
      </c>
      <c r="J29" t="s">
        <v>489</v>
      </c>
      <c r="K29" t="s">
        <v>490</v>
      </c>
      <c r="L29" t="s">
        <v>226</v>
      </c>
      <c r="M29" t="s">
        <v>53</v>
      </c>
      <c r="N29" t="s">
        <v>491</v>
      </c>
      <c r="O29" t="s">
        <v>492</v>
      </c>
    </row>
    <row r="30" spans="1:15">
      <c r="A30" t="s">
        <v>493</v>
      </c>
      <c r="B30" t="s">
        <v>494</v>
      </c>
      <c r="C30" t="s">
        <v>495</v>
      </c>
      <c r="D30" t="s">
        <v>484</v>
      </c>
      <c r="E30" t="s">
        <v>485</v>
      </c>
      <c r="F30" t="s">
        <v>486</v>
      </c>
      <c r="G30" t="s">
        <v>487</v>
      </c>
      <c r="H30" t="s">
        <v>496</v>
      </c>
      <c r="I30" t="s">
        <v>497</v>
      </c>
      <c r="J30" t="s">
        <v>498</v>
      </c>
      <c r="K30" t="s">
        <v>499</v>
      </c>
      <c r="L30" t="s">
        <v>500</v>
      </c>
      <c r="M30" t="s">
        <v>501</v>
      </c>
      <c r="N30" t="s">
        <v>502</v>
      </c>
      <c r="O30" t="s">
        <v>503</v>
      </c>
    </row>
    <row r="31" spans="1:15">
      <c r="A31" t="s">
        <v>504</v>
      </c>
      <c r="B31" t="s">
        <v>505</v>
      </c>
      <c r="C31" t="s">
        <v>506</v>
      </c>
      <c r="D31" t="s">
        <v>484</v>
      </c>
      <c r="E31" t="s">
        <v>485</v>
      </c>
      <c r="F31" t="s">
        <v>486</v>
      </c>
      <c r="G31" t="s">
        <v>487</v>
      </c>
      <c r="H31" t="s">
        <v>507</v>
      </c>
      <c r="I31" t="s">
        <v>508</v>
      </c>
      <c r="J31" t="s">
        <v>509</v>
      </c>
      <c r="K31" t="s">
        <v>510</v>
      </c>
      <c r="L31" t="s">
        <v>511</v>
      </c>
      <c r="M31" t="s">
        <v>512</v>
      </c>
      <c r="N31" t="s">
        <v>513</v>
      </c>
      <c r="O31" t="s">
        <v>514</v>
      </c>
    </row>
    <row r="32" spans="1:15">
      <c r="A32" t="s">
        <v>515</v>
      </c>
      <c r="B32" t="s">
        <v>516</v>
      </c>
      <c r="C32" t="s">
        <v>517</v>
      </c>
      <c r="D32" t="s">
        <v>484</v>
      </c>
      <c r="E32" t="s">
        <v>485</v>
      </c>
      <c r="F32" t="s">
        <v>486</v>
      </c>
      <c r="G32" t="s">
        <v>487</v>
      </c>
      <c r="H32" t="s">
        <v>518</v>
      </c>
      <c r="I32" t="s">
        <v>519</v>
      </c>
      <c r="J32" t="s">
        <v>520</v>
      </c>
      <c r="K32" t="s">
        <v>521</v>
      </c>
      <c r="L32" t="s">
        <v>522</v>
      </c>
      <c r="M32" t="s">
        <v>523</v>
      </c>
      <c r="N32" t="s">
        <v>524</v>
      </c>
      <c r="O32" t="s">
        <v>525</v>
      </c>
    </row>
    <row r="33" spans="1:15">
      <c r="A33" t="s">
        <v>526</v>
      </c>
      <c r="B33" t="s">
        <v>527</v>
      </c>
      <c r="C33" t="s">
        <v>528</v>
      </c>
      <c r="D33" t="s">
        <v>484</v>
      </c>
      <c r="E33" t="s">
        <v>485</v>
      </c>
      <c r="F33" t="s">
        <v>486</v>
      </c>
      <c r="G33" t="s">
        <v>487</v>
      </c>
      <c r="H33" t="s">
        <v>529</v>
      </c>
      <c r="I33" t="s">
        <v>530</v>
      </c>
      <c r="J33" t="s">
        <v>531</v>
      </c>
      <c r="K33" t="s">
        <v>532</v>
      </c>
      <c r="L33" t="s">
        <v>533</v>
      </c>
      <c r="M33" t="s">
        <v>39</v>
      </c>
      <c r="N33" t="s">
        <v>534</v>
      </c>
      <c r="O33" t="s">
        <v>535</v>
      </c>
    </row>
    <row r="34" spans="1:15">
      <c r="A34" t="s">
        <v>536</v>
      </c>
      <c r="B34" t="s">
        <v>537</v>
      </c>
      <c r="C34" t="s">
        <v>538</v>
      </c>
      <c r="D34" t="s">
        <v>539</v>
      </c>
      <c r="E34" t="s">
        <v>540</v>
      </c>
      <c r="F34" t="s">
        <v>541</v>
      </c>
      <c r="G34" t="s">
        <v>542</v>
      </c>
      <c r="H34" t="s">
        <v>543</v>
      </c>
      <c r="I34" t="s">
        <v>544</v>
      </c>
      <c r="J34" t="s">
        <v>545</v>
      </c>
      <c r="K34" t="s">
        <v>546</v>
      </c>
      <c r="L34" t="s">
        <v>296</v>
      </c>
      <c r="M34" t="s">
        <v>39</v>
      </c>
      <c r="N34" t="s">
        <v>547</v>
      </c>
      <c r="O34" t="s">
        <v>548</v>
      </c>
    </row>
    <row r="35" spans="1:15">
      <c r="A35" t="s">
        <v>549</v>
      </c>
      <c r="B35" t="s">
        <v>550</v>
      </c>
      <c r="C35" t="s">
        <v>551</v>
      </c>
      <c r="D35" t="s">
        <v>552</v>
      </c>
      <c r="E35" t="s">
        <v>553</v>
      </c>
      <c r="F35" t="s">
        <v>554</v>
      </c>
      <c r="G35" t="s">
        <v>555</v>
      </c>
      <c r="H35" t="s">
        <v>556</v>
      </c>
      <c r="I35" t="s">
        <v>557</v>
      </c>
      <c r="J35" t="s">
        <v>558</v>
      </c>
      <c r="K35" t="s">
        <v>559</v>
      </c>
      <c r="L35" t="s">
        <v>296</v>
      </c>
      <c r="M35" t="s">
        <v>39</v>
      </c>
      <c r="N35" t="s">
        <v>560</v>
      </c>
      <c r="O35" t="s">
        <v>561</v>
      </c>
    </row>
    <row r="36" spans="1:15">
      <c r="A36" t="s">
        <v>562</v>
      </c>
      <c r="B36" t="s">
        <v>563</v>
      </c>
      <c r="C36" t="s">
        <v>564</v>
      </c>
      <c r="D36" t="s">
        <v>565</v>
      </c>
      <c r="E36" t="s">
        <v>566</v>
      </c>
      <c r="F36" t="s">
        <v>567</v>
      </c>
      <c r="H36" t="s">
        <v>568</v>
      </c>
      <c r="I36" t="s">
        <v>569</v>
      </c>
      <c r="J36" t="s">
        <v>570</v>
      </c>
      <c r="K36" t="s">
        <v>571</v>
      </c>
      <c r="L36" t="s">
        <v>296</v>
      </c>
      <c r="M36" t="s">
        <v>39</v>
      </c>
      <c r="N36" t="s">
        <v>572</v>
      </c>
      <c r="O36" t="s">
        <v>573</v>
      </c>
    </row>
    <row r="37" spans="1:15">
      <c r="A37" t="s">
        <v>574</v>
      </c>
      <c r="B37" t="s">
        <v>575</v>
      </c>
      <c r="C37" t="s">
        <v>576</v>
      </c>
      <c r="D37" t="s">
        <v>577</v>
      </c>
      <c r="E37" t="s">
        <v>578</v>
      </c>
      <c r="F37" t="s">
        <v>579</v>
      </c>
      <c r="H37" t="s">
        <v>580</v>
      </c>
      <c r="I37" t="s">
        <v>581</v>
      </c>
      <c r="K37" t="s">
        <v>582</v>
      </c>
      <c r="L37" t="s">
        <v>583</v>
      </c>
      <c r="M37" t="s">
        <v>39</v>
      </c>
      <c r="N37" t="s">
        <v>584</v>
      </c>
      <c r="O37" t="s">
        <v>585</v>
      </c>
    </row>
    <row r="38" spans="1:15">
      <c r="A38" t="s">
        <v>586</v>
      </c>
      <c r="B38" t="s">
        <v>587</v>
      </c>
      <c r="C38" t="s">
        <v>588</v>
      </c>
      <c r="D38" t="s">
        <v>589</v>
      </c>
      <c r="E38" t="s">
        <v>590</v>
      </c>
      <c r="F38" t="s">
        <v>591</v>
      </c>
      <c r="G38" t="s">
        <v>592</v>
      </c>
      <c r="H38" t="s">
        <v>593</v>
      </c>
      <c r="I38" t="s">
        <v>594</v>
      </c>
      <c r="J38" t="s">
        <v>595</v>
      </c>
      <c r="K38" t="s">
        <v>596</v>
      </c>
      <c r="L38" t="s">
        <v>597</v>
      </c>
      <c r="M38" t="s">
        <v>512</v>
      </c>
      <c r="N38" t="s">
        <v>598</v>
      </c>
      <c r="O38" t="s">
        <v>599</v>
      </c>
    </row>
    <row r="39" spans="1:15">
      <c r="A39" t="s">
        <v>600</v>
      </c>
      <c r="B39" t="s">
        <v>601</v>
      </c>
      <c r="C39" t="s">
        <v>602</v>
      </c>
      <c r="D39" t="s">
        <v>603</v>
      </c>
      <c r="E39" t="s">
        <v>604</v>
      </c>
      <c r="F39" t="s">
        <v>605</v>
      </c>
      <c r="G39" t="s">
        <v>606</v>
      </c>
      <c r="H39" t="s">
        <v>607</v>
      </c>
      <c r="I39" t="s">
        <v>608</v>
      </c>
      <c r="J39" t="s">
        <v>241</v>
      </c>
      <c r="K39" t="s">
        <v>609</v>
      </c>
      <c r="L39" t="s">
        <v>610</v>
      </c>
      <c r="M39" t="s">
        <v>39</v>
      </c>
      <c r="N39" t="s">
        <v>611</v>
      </c>
      <c r="O39" t="s">
        <v>612</v>
      </c>
    </row>
    <row r="40" spans="1:15">
      <c r="A40" t="s">
        <v>613</v>
      </c>
      <c r="B40" t="s">
        <v>614</v>
      </c>
      <c r="C40" t="s">
        <v>615</v>
      </c>
      <c r="D40" t="s">
        <v>616</v>
      </c>
      <c r="E40" t="s">
        <v>617</v>
      </c>
      <c r="F40" t="s">
        <v>618</v>
      </c>
      <c r="G40" t="s">
        <v>619</v>
      </c>
      <c r="H40" t="s">
        <v>620</v>
      </c>
      <c r="I40" t="s">
        <v>621</v>
      </c>
      <c r="J40" t="s">
        <v>622</v>
      </c>
      <c r="K40" t="s">
        <v>623</v>
      </c>
      <c r="L40" t="s">
        <v>624</v>
      </c>
      <c r="M40" t="s">
        <v>625</v>
      </c>
      <c r="N40" t="s">
        <v>626</v>
      </c>
      <c r="O40" t="s">
        <v>627</v>
      </c>
    </row>
    <row r="41" spans="1:15">
      <c r="A41" t="s">
        <v>628</v>
      </c>
      <c r="B41" t="s">
        <v>629</v>
      </c>
      <c r="C41" t="s">
        <v>630</v>
      </c>
      <c r="D41" t="s">
        <v>616</v>
      </c>
      <c r="E41" t="s">
        <v>617</v>
      </c>
      <c r="F41" t="s">
        <v>618</v>
      </c>
      <c r="G41" t="s">
        <v>619</v>
      </c>
      <c r="H41" t="s">
        <v>279</v>
      </c>
      <c r="I41" t="s">
        <v>400</v>
      </c>
      <c r="J41" t="s">
        <v>631</v>
      </c>
      <c r="K41" t="s">
        <v>632</v>
      </c>
      <c r="L41" t="s">
        <v>226</v>
      </c>
      <c r="M41" t="s">
        <v>53</v>
      </c>
      <c r="N41" t="s">
        <v>633</v>
      </c>
      <c r="O41" t="s">
        <v>634</v>
      </c>
    </row>
    <row r="42" spans="1:15">
      <c r="A42" t="s">
        <v>635</v>
      </c>
      <c r="B42" t="s">
        <v>636</v>
      </c>
      <c r="C42" t="s">
        <v>637</v>
      </c>
      <c r="D42" t="s">
        <v>638</v>
      </c>
      <c r="E42" t="s">
        <v>639</v>
      </c>
      <c r="F42" t="s">
        <v>640</v>
      </c>
      <c r="G42" t="s">
        <v>641</v>
      </c>
      <c r="H42" t="s">
        <v>642</v>
      </c>
      <c r="I42" t="s">
        <v>400</v>
      </c>
      <c r="J42" t="s">
        <v>643</v>
      </c>
      <c r="K42" t="s">
        <v>632</v>
      </c>
      <c r="L42" t="s">
        <v>226</v>
      </c>
      <c r="M42" t="s">
        <v>53</v>
      </c>
      <c r="N42" t="s">
        <v>644</v>
      </c>
      <c r="O42" t="s">
        <v>645</v>
      </c>
    </row>
    <row r="43" spans="1:15">
      <c r="A43" t="s">
        <v>646</v>
      </c>
      <c r="B43" t="s">
        <v>647</v>
      </c>
      <c r="C43" t="s">
        <v>648</v>
      </c>
      <c r="D43" t="s">
        <v>638</v>
      </c>
      <c r="E43" t="s">
        <v>639</v>
      </c>
      <c r="F43" t="s">
        <v>640</v>
      </c>
      <c r="G43" t="s">
        <v>641</v>
      </c>
      <c r="H43" t="s">
        <v>649</v>
      </c>
      <c r="I43" t="s">
        <v>650</v>
      </c>
      <c r="J43" t="s">
        <v>651</v>
      </c>
      <c r="K43" t="s">
        <v>652</v>
      </c>
      <c r="L43" t="s">
        <v>653</v>
      </c>
      <c r="M43" t="s">
        <v>654</v>
      </c>
      <c r="N43" t="s">
        <v>655</v>
      </c>
      <c r="O43" t="s">
        <v>656</v>
      </c>
    </row>
    <row r="44" spans="1:15">
      <c r="A44" t="s">
        <v>657</v>
      </c>
      <c r="B44" t="s">
        <v>658</v>
      </c>
      <c r="C44" t="s">
        <v>659</v>
      </c>
      <c r="D44" t="s">
        <v>638</v>
      </c>
      <c r="E44" t="s">
        <v>639</v>
      </c>
      <c r="F44" t="s">
        <v>640</v>
      </c>
      <c r="G44" t="s">
        <v>641</v>
      </c>
      <c r="H44" t="s">
        <v>660</v>
      </c>
      <c r="I44" t="s">
        <v>661</v>
      </c>
      <c r="J44" t="s">
        <v>662</v>
      </c>
      <c r="K44" t="s">
        <v>663</v>
      </c>
      <c r="L44" t="s">
        <v>664</v>
      </c>
      <c r="M44" t="s">
        <v>39</v>
      </c>
      <c r="N44" t="s">
        <v>665</v>
      </c>
      <c r="O44" t="s">
        <v>666</v>
      </c>
    </row>
    <row r="45" spans="1:15">
      <c r="A45" t="s">
        <v>667</v>
      </c>
      <c r="B45" t="s">
        <v>668</v>
      </c>
      <c r="D45" t="s">
        <v>669</v>
      </c>
      <c r="E45" t="s">
        <v>670</v>
      </c>
      <c r="F45" t="s">
        <v>671</v>
      </c>
      <c r="G45" t="s">
        <v>671</v>
      </c>
      <c r="H45" t="s">
        <v>672</v>
      </c>
      <c r="I45" t="s">
        <v>673</v>
      </c>
      <c r="K45" t="s">
        <v>674</v>
      </c>
      <c r="L45" t="s">
        <v>675</v>
      </c>
      <c r="M45" t="s">
        <v>523</v>
      </c>
      <c r="N45" t="s">
        <v>676</v>
      </c>
      <c r="O45" t="s">
        <v>677</v>
      </c>
    </row>
    <row r="46" spans="1:15">
      <c r="A46" t="s">
        <v>678</v>
      </c>
      <c r="B46" t="s">
        <v>679</v>
      </c>
      <c r="C46" t="s">
        <v>680</v>
      </c>
      <c r="D46" t="s">
        <v>681</v>
      </c>
      <c r="E46" t="s">
        <v>682</v>
      </c>
      <c r="F46" t="s">
        <v>683</v>
      </c>
      <c r="G46" t="s">
        <v>683</v>
      </c>
      <c r="H46" t="s">
        <v>580</v>
      </c>
      <c r="I46" t="s">
        <v>684</v>
      </c>
      <c r="K46" t="s">
        <v>685</v>
      </c>
      <c r="L46" t="s">
        <v>583</v>
      </c>
      <c r="M46" t="s">
        <v>39</v>
      </c>
      <c r="N46" t="s">
        <v>686</v>
      </c>
      <c r="O46" t="s">
        <v>687</v>
      </c>
    </row>
    <row r="47" spans="1:15">
      <c r="A47" t="s">
        <v>688</v>
      </c>
      <c r="B47" t="s">
        <v>689</v>
      </c>
      <c r="C47" t="s">
        <v>690</v>
      </c>
      <c r="D47" t="s">
        <v>691</v>
      </c>
      <c r="E47" t="s">
        <v>692</v>
      </c>
      <c r="H47" t="s">
        <v>693</v>
      </c>
      <c r="I47" t="s">
        <v>694</v>
      </c>
      <c r="K47" t="s">
        <v>559</v>
      </c>
      <c r="L47" t="s">
        <v>583</v>
      </c>
      <c r="M47" t="s">
        <v>39</v>
      </c>
      <c r="N47" t="s">
        <v>695</v>
      </c>
      <c r="O47" t="s">
        <v>696</v>
      </c>
    </row>
    <row r="48" spans="1:15">
      <c r="A48" t="s">
        <v>697</v>
      </c>
      <c r="B48" t="s">
        <v>698</v>
      </c>
      <c r="C48" t="s">
        <v>699</v>
      </c>
      <c r="D48" t="s">
        <v>700</v>
      </c>
      <c r="E48" t="s">
        <v>701</v>
      </c>
      <c r="F48" t="s">
        <v>702</v>
      </c>
      <c r="H48" t="s">
        <v>329</v>
      </c>
      <c r="I48" t="s">
        <v>703</v>
      </c>
      <c r="J48" t="s">
        <v>704</v>
      </c>
      <c r="K48" t="s">
        <v>705</v>
      </c>
      <c r="L48" t="s">
        <v>296</v>
      </c>
      <c r="M48" t="s">
        <v>39</v>
      </c>
      <c r="N48" t="s">
        <v>334</v>
      </c>
      <c r="O48" t="s">
        <v>706</v>
      </c>
    </row>
    <row r="49" spans="1:15">
      <c r="A49" t="s">
        <v>707</v>
      </c>
      <c r="B49" t="s">
        <v>708</v>
      </c>
      <c r="C49" t="s">
        <v>709</v>
      </c>
      <c r="D49" t="s">
        <v>710</v>
      </c>
      <c r="E49" t="s">
        <v>711</v>
      </c>
      <c r="F49" t="s">
        <v>712</v>
      </c>
      <c r="G49" t="s">
        <v>713</v>
      </c>
      <c r="H49" t="s">
        <v>714</v>
      </c>
      <c r="I49" t="s">
        <v>715</v>
      </c>
      <c r="J49" t="s">
        <v>716</v>
      </c>
      <c r="K49" t="s">
        <v>717</v>
      </c>
      <c r="L49" t="s">
        <v>296</v>
      </c>
      <c r="M49" t="s">
        <v>39</v>
      </c>
      <c r="N49" t="s">
        <v>718</v>
      </c>
      <c r="O49" t="s">
        <v>719</v>
      </c>
    </row>
    <row r="50" spans="1:15">
      <c r="A50" t="s">
        <v>720</v>
      </c>
      <c r="B50" t="s">
        <v>721</v>
      </c>
      <c r="C50" t="s">
        <v>722</v>
      </c>
      <c r="G50" t="s">
        <v>723</v>
      </c>
      <c r="H50" t="s">
        <v>724</v>
      </c>
      <c r="I50" t="s">
        <v>725</v>
      </c>
      <c r="K50" t="s">
        <v>726</v>
      </c>
      <c r="L50" t="s">
        <v>727</v>
      </c>
      <c r="M50" t="s">
        <v>728</v>
      </c>
      <c r="N50" t="s">
        <v>729</v>
      </c>
      <c r="O50" t="s">
        <v>730</v>
      </c>
    </row>
    <row r="51" spans="1:15">
      <c r="A51" t="s">
        <v>731</v>
      </c>
      <c r="B51" t="s">
        <v>732</v>
      </c>
      <c r="C51" t="s">
        <v>733</v>
      </c>
      <c r="D51" t="s">
        <v>734</v>
      </c>
      <c r="E51" t="s">
        <v>735</v>
      </c>
      <c r="F51" t="s">
        <v>736</v>
      </c>
      <c r="H51" t="s">
        <v>737</v>
      </c>
      <c r="I51" t="s">
        <v>738</v>
      </c>
      <c r="K51" t="s">
        <v>296</v>
      </c>
      <c r="L51" t="s">
        <v>296</v>
      </c>
      <c r="M51" t="s">
        <v>728</v>
      </c>
      <c r="N51" t="s">
        <v>739</v>
      </c>
      <c r="O51" t="s">
        <v>740</v>
      </c>
    </row>
    <row r="52" spans="1:15">
      <c r="A52" t="s">
        <v>678</v>
      </c>
      <c r="B52" t="s">
        <v>679</v>
      </c>
      <c r="C52" t="s">
        <v>741</v>
      </c>
      <c r="D52" t="s">
        <v>742</v>
      </c>
      <c r="E52" t="s">
        <v>682</v>
      </c>
      <c r="F52" t="s">
        <v>743</v>
      </c>
      <c r="H52" t="s">
        <v>744</v>
      </c>
      <c r="I52" t="s">
        <v>684</v>
      </c>
      <c r="K52" t="s">
        <v>745</v>
      </c>
      <c r="L52" t="s">
        <v>296</v>
      </c>
      <c r="M52" t="s">
        <v>728</v>
      </c>
      <c r="N52" t="s">
        <v>686</v>
      </c>
      <c r="O52" t="s">
        <v>746</v>
      </c>
    </row>
    <row r="53" spans="1:15">
      <c r="A53" t="s">
        <v>747</v>
      </c>
      <c r="B53" t="s">
        <v>748</v>
      </c>
      <c r="C53" t="s">
        <v>749</v>
      </c>
      <c r="D53" t="s">
        <v>750</v>
      </c>
      <c r="E53" t="s">
        <v>751</v>
      </c>
      <c r="F53" t="s">
        <v>752</v>
      </c>
      <c r="H53" t="s">
        <v>753</v>
      </c>
      <c r="I53" t="s">
        <v>754</v>
      </c>
      <c r="K53" t="s">
        <v>755</v>
      </c>
      <c r="L53" t="s">
        <v>756</v>
      </c>
      <c r="M53" t="s">
        <v>501</v>
      </c>
      <c r="N53" t="s">
        <v>757</v>
      </c>
      <c r="O53" t="s">
        <v>758</v>
      </c>
    </row>
    <row r="54" spans="1:15">
      <c r="A54" t="s">
        <v>759</v>
      </c>
      <c r="B54" t="s">
        <v>760</v>
      </c>
      <c r="C54" t="s">
        <v>761</v>
      </c>
      <c r="D54" t="s">
        <v>762</v>
      </c>
      <c r="E54" t="s">
        <v>763</v>
      </c>
      <c r="F54" t="s">
        <v>764</v>
      </c>
      <c r="G54" t="s">
        <v>303</v>
      </c>
      <c r="H54" t="s">
        <v>745</v>
      </c>
      <c r="I54" t="s">
        <v>765</v>
      </c>
      <c r="J54" t="s">
        <v>766</v>
      </c>
      <c r="K54" t="s">
        <v>767</v>
      </c>
      <c r="L54" t="s">
        <v>40</v>
      </c>
      <c r="M54" t="s">
        <v>728</v>
      </c>
      <c r="N54" t="s">
        <v>768</v>
      </c>
      <c r="O54" t="s">
        <v>769</v>
      </c>
    </row>
    <row r="55" spans="1:15">
      <c r="A55" t="s">
        <v>770</v>
      </c>
      <c r="B55" t="s">
        <v>771</v>
      </c>
      <c r="C55" t="s">
        <v>772</v>
      </c>
      <c r="D55" t="s">
        <v>773</v>
      </c>
      <c r="E55" t="s">
        <v>774</v>
      </c>
      <c r="F55" t="s">
        <v>775</v>
      </c>
      <c r="G55" t="s">
        <v>775</v>
      </c>
      <c r="H55" t="s">
        <v>776</v>
      </c>
      <c r="I55" t="s">
        <v>777</v>
      </c>
      <c r="J55" t="s">
        <v>778</v>
      </c>
      <c r="K55" t="s">
        <v>779</v>
      </c>
      <c r="L55" t="s">
        <v>40</v>
      </c>
      <c r="M55" t="s">
        <v>728</v>
      </c>
      <c r="N55" t="s">
        <v>780</v>
      </c>
      <c r="O55" t="s">
        <v>781</v>
      </c>
    </row>
    <row r="56" spans="1:15">
      <c r="A56" t="s">
        <v>782</v>
      </c>
      <c r="B56" t="s">
        <v>783</v>
      </c>
      <c r="C56" t="s">
        <v>784</v>
      </c>
      <c r="D56" t="s">
        <v>785</v>
      </c>
      <c r="E56" t="s">
        <v>786</v>
      </c>
      <c r="F56" t="s">
        <v>787</v>
      </c>
      <c r="H56" t="s">
        <v>788</v>
      </c>
      <c r="I56" t="s">
        <v>789</v>
      </c>
      <c r="J56" t="s">
        <v>790</v>
      </c>
      <c r="K56" t="s">
        <v>791</v>
      </c>
      <c r="L56" t="s">
        <v>792</v>
      </c>
      <c r="M56" t="s">
        <v>728</v>
      </c>
      <c r="N56" t="s">
        <v>793</v>
      </c>
      <c r="O56" t="s">
        <v>794</v>
      </c>
    </row>
    <row r="57" spans="1:15">
      <c r="A57" t="s">
        <v>795</v>
      </c>
      <c r="B57" t="s">
        <v>796</v>
      </c>
      <c r="C57" t="s">
        <v>797</v>
      </c>
      <c r="D57" t="s">
        <v>773</v>
      </c>
      <c r="E57" t="s">
        <v>774</v>
      </c>
      <c r="F57" t="s">
        <v>775</v>
      </c>
      <c r="G57" t="s">
        <v>775</v>
      </c>
      <c r="H57" t="s">
        <v>798</v>
      </c>
      <c r="I57" t="s">
        <v>223</v>
      </c>
      <c r="J57" t="s">
        <v>799</v>
      </c>
      <c r="K57" t="s">
        <v>800</v>
      </c>
      <c r="L57" t="s">
        <v>801</v>
      </c>
      <c r="M57" t="s">
        <v>53</v>
      </c>
      <c r="N57" t="s">
        <v>802</v>
      </c>
      <c r="O57" t="s">
        <v>803</v>
      </c>
    </row>
    <row r="58" spans="1:15">
      <c r="A58" t="s">
        <v>804</v>
      </c>
      <c r="B58" t="s">
        <v>698</v>
      </c>
      <c r="C58" t="s">
        <v>805</v>
      </c>
      <c r="D58" t="s">
        <v>700</v>
      </c>
      <c r="E58" t="s">
        <v>701</v>
      </c>
      <c r="F58" t="s">
        <v>702</v>
      </c>
      <c r="G58" t="s">
        <v>702</v>
      </c>
      <c r="H58" t="s">
        <v>329</v>
      </c>
      <c r="I58" t="s">
        <v>703</v>
      </c>
      <c r="J58" t="s">
        <v>806</v>
      </c>
      <c r="K58" t="s">
        <v>807</v>
      </c>
      <c r="L58" t="s">
        <v>296</v>
      </c>
      <c r="M58" t="s">
        <v>728</v>
      </c>
      <c r="N58" t="s">
        <v>334</v>
      </c>
      <c r="O58" t="s">
        <v>808</v>
      </c>
    </row>
    <row r="59" spans="1:15">
      <c r="A59" t="s">
        <v>809</v>
      </c>
      <c r="B59" t="s">
        <v>248</v>
      </c>
      <c r="C59" t="s">
        <v>249</v>
      </c>
      <c r="D59" t="s">
        <v>250</v>
      </c>
      <c r="E59" t="s">
        <v>810</v>
      </c>
      <c r="F59" t="s">
        <v>811</v>
      </c>
      <c r="G59" t="s">
        <v>253</v>
      </c>
      <c r="H59" t="s">
        <v>812</v>
      </c>
      <c r="I59" t="s">
        <v>255</v>
      </c>
      <c r="J59" t="s">
        <v>813</v>
      </c>
      <c r="K59" t="s">
        <v>257</v>
      </c>
      <c r="L59" t="s">
        <v>258</v>
      </c>
      <c r="M59" t="s">
        <v>728</v>
      </c>
      <c r="N59" t="s">
        <v>814</v>
      </c>
      <c r="O59" t="s">
        <v>815</v>
      </c>
    </row>
    <row r="60" spans="1:15">
      <c r="A60" t="s">
        <v>816</v>
      </c>
      <c r="B60" t="s">
        <v>817</v>
      </c>
      <c r="C60" t="s">
        <v>818</v>
      </c>
      <c r="D60" t="s">
        <v>819</v>
      </c>
      <c r="E60" t="s">
        <v>820</v>
      </c>
      <c r="F60" t="s">
        <v>787</v>
      </c>
      <c r="H60" t="s">
        <v>279</v>
      </c>
      <c r="J60" t="s">
        <v>821</v>
      </c>
      <c r="K60" t="s">
        <v>822</v>
      </c>
      <c r="L60" t="s">
        <v>226</v>
      </c>
      <c r="M60" t="s">
        <v>53</v>
      </c>
      <c r="N60" t="s">
        <v>823</v>
      </c>
      <c r="O60" t="s">
        <v>824</v>
      </c>
    </row>
    <row r="61" spans="1:15">
      <c r="A61" t="s">
        <v>825</v>
      </c>
      <c r="B61" t="s">
        <v>826</v>
      </c>
      <c r="D61" t="s">
        <v>827</v>
      </c>
      <c r="F61" t="s">
        <v>828</v>
      </c>
      <c r="G61" t="s">
        <v>828</v>
      </c>
      <c r="H61" t="s">
        <v>829</v>
      </c>
      <c r="I61" t="s">
        <v>830</v>
      </c>
      <c r="J61" t="s">
        <v>831</v>
      </c>
      <c r="K61" t="s">
        <v>832</v>
      </c>
      <c r="L61" t="s">
        <v>833</v>
      </c>
      <c r="M61" t="s">
        <v>501</v>
      </c>
      <c r="N61" t="s">
        <v>834</v>
      </c>
      <c r="O61" t="s">
        <v>835</v>
      </c>
    </row>
    <row r="62" spans="1:15">
      <c r="A62" t="s">
        <v>836</v>
      </c>
      <c r="B62" t="s">
        <v>708</v>
      </c>
      <c r="C62" t="s">
        <v>709</v>
      </c>
      <c r="D62" t="s">
        <v>837</v>
      </c>
      <c r="E62" t="s">
        <v>838</v>
      </c>
      <c r="F62" t="s">
        <v>839</v>
      </c>
      <c r="G62" t="s">
        <v>840</v>
      </c>
      <c r="H62" t="s">
        <v>714</v>
      </c>
      <c r="I62" t="s">
        <v>841</v>
      </c>
      <c r="J62" t="s">
        <v>716</v>
      </c>
      <c r="K62" t="s">
        <v>717</v>
      </c>
      <c r="L62" t="s">
        <v>296</v>
      </c>
      <c r="M62" t="s">
        <v>728</v>
      </c>
      <c r="N62" t="s">
        <v>842</v>
      </c>
      <c r="O62" t="s">
        <v>843</v>
      </c>
    </row>
    <row r="63" spans="1:15">
      <c r="A63" t="s">
        <v>844</v>
      </c>
      <c r="B63" t="s">
        <v>845</v>
      </c>
      <c r="D63" t="s">
        <v>846</v>
      </c>
      <c r="E63" t="s">
        <v>847</v>
      </c>
      <c r="F63" t="s">
        <v>848</v>
      </c>
      <c r="G63" t="s">
        <v>848</v>
      </c>
      <c r="H63" t="s">
        <v>849</v>
      </c>
      <c r="I63" t="s">
        <v>850</v>
      </c>
      <c r="K63" t="s">
        <v>851</v>
      </c>
      <c r="L63" t="s">
        <v>852</v>
      </c>
      <c r="M63" t="s">
        <v>728</v>
      </c>
      <c r="N63" t="s">
        <v>853</v>
      </c>
      <c r="O63" t="s">
        <v>854</v>
      </c>
    </row>
    <row r="64" spans="1:15">
      <c r="A64" t="s">
        <v>855</v>
      </c>
      <c r="B64" t="s">
        <v>856</v>
      </c>
      <c r="D64" t="s">
        <v>857</v>
      </c>
      <c r="E64" t="s">
        <v>858</v>
      </c>
      <c r="F64" t="s">
        <v>859</v>
      </c>
      <c r="G64" t="s">
        <v>859</v>
      </c>
      <c r="H64" t="s">
        <v>860</v>
      </c>
      <c r="I64" t="s">
        <v>861</v>
      </c>
      <c r="K64" t="s">
        <v>862</v>
      </c>
      <c r="L64" t="s">
        <v>863</v>
      </c>
      <c r="M64" t="s">
        <v>512</v>
      </c>
      <c r="N64" t="s">
        <v>864</v>
      </c>
      <c r="O64" t="s">
        <v>865</v>
      </c>
    </row>
    <row r="65" spans="1:15">
      <c r="A65" t="s">
        <v>866</v>
      </c>
      <c r="B65" t="s">
        <v>867</v>
      </c>
      <c r="C65" t="s">
        <v>868</v>
      </c>
      <c r="D65" t="s">
        <v>750</v>
      </c>
      <c r="E65" t="s">
        <v>751</v>
      </c>
      <c r="F65" t="s">
        <v>752</v>
      </c>
      <c r="G65" t="s">
        <v>752</v>
      </c>
      <c r="H65" t="s">
        <v>869</v>
      </c>
      <c r="I65" t="s">
        <v>870</v>
      </c>
      <c r="J65" t="s">
        <v>871</v>
      </c>
      <c r="K65" t="s">
        <v>872</v>
      </c>
      <c r="L65" t="s">
        <v>873</v>
      </c>
      <c r="M65" t="s">
        <v>874</v>
      </c>
      <c r="N65" t="s">
        <v>875</v>
      </c>
      <c r="O65" t="s">
        <v>876</v>
      </c>
    </row>
    <row r="66" spans="1:15">
      <c r="A66" t="s">
        <v>877</v>
      </c>
      <c r="B66" t="s">
        <v>878</v>
      </c>
      <c r="C66" t="s">
        <v>879</v>
      </c>
      <c r="D66" t="s">
        <v>857</v>
      </c>
      <c r="E66" t="s">
        <v>858</v>
      </c>
      <c r="F66" t="s">
        <v>859</v>
      </c>
      <c r="G66" t="s">
        <v>859</v>
      </c>
      <c r="H66" t="s">
        <v>279</v>
      </c>
      <c r="I66" t="s">
        <v>880</v>
      </c>
      <c r="J66" t="s">
        <v>881</v>
      </c>
      <c r="K66" t="s">
        <v>882</v>
      </c>
      <c r="L66" t="s">
        <v>883</v>
      </c>
      <c r="M66" t="s">
        <v>53</v>
      </c>
      <c r="N66" t="s">
        <v>884</v>
      </c>
      <c r="O66" t="s">
        <v>885</v>
      </c>
    </row>
    <row r="67" spans="1:15">
      <c r="A67" t="s">
        <v>886</v>
      </c>
      <c r="B67" t="s">
        <v>887</v>
      </c>
      <c r="H67" t="s">
        <v>888</v>
      </c>
      <c r="I67" t="s">
        <v>789</v>
      </c>
      <c r="J67" t="s">
        <v>889</v>
      </c>
      <c r="K67" t="s">
        <v>890</v>
      </c>
      <c r="L67" t="s">
        <v>891</v>
      </c>
      <c r="M67" t="s">
        <v>39</v>
      </c>
      <c r="N67" t="s">
        <v>892</v>
      </c>
      <c r="O67" t="s">
        <v>893</v>
      </c>
    </row>
    <row r="68" spans="1:15">
      <c r="A68" t="s">
        <v>894</v>
      </c>
      <c r="B68" t="s">
        <v>895</v>
      </c>
      <c r="C68" t="s">
        <v>896</v>
      </c>
      <c r="D68" t="s">
        <v>897</v>
      </c>
      <c r="E68" t="s">
        <v>898</v>
      </c>
      <c r="F68" t="s">
        <v>899</v>
      </c>
      <c r="G68" t="s">
        <v>899</v>
      </c>
      <c r="H68" t="s">
        <v>900</v>
      </c>
      <c r="I68" t="s">
        <v>901</v>
      </c>
      <c r="J68" t="s">
        <v>902</v>
      </c>
      <c r="K68" t="s">
        <v>903</v>
      </c>
      <c r="L68" t="s">
        <v>904</v>
      </c>
      <c r="M68" t="s">
        <v>728</v>
      </c>
      <c r="N68" t="s">
        <v>905</v>
      </c>
      <c r="O68" t="s">
        <v>906</v>
      </c>
    </row>
    <row r="69" spans="1:15">
      <c r="A69" t="s">
        <v>907</v>
      </c>
      <c r="B69" t="s">
        <v>908</v>
      </c>
      <c r="C69" t="s">
        <v>909</v>
      </c>
      <c r="D69" t="s">
        <v>910</v>
      </c>
      <c r="E69" t="s">
        <v>911</v>
      </c>
      <c r="H69" t="s">
        <v>912</v>
      </c>
      <c r="I69" t="s">
        <v>913</v>
      </c>
      <c r="K69" t="s">
        <v>914</v>
      </c>
      <c r="L69" t="s">
        <v>296</v>
      </c>
      <c r="M69" t="s">
        <v>728</v>
      </c>
      <c r="N69" t="s">
        <v>915</v>
      </c>
      <c r="O69" t="s">
        <v>916</v>
      </c>
    </row>
    <row r="70" spans="1:15">
      <c r="A70" t="s">
        <v>917</v>
      </c>
      <c r="B70" t="s">
        <v>918</v>
      </c>
      <c r="C70" t="s">
        <v>919</v>
      </c>
      <c r="D70" t="s">
        <v>920</v>
      </c>
      <c r="E70" t="s">
        <v>921</v>
      </c>
      <c r="F70" t="s">
        <v>922</v>
      </c>
      <c r="G70" t="s">
        <v>922</v>
      </c>
      <c r="H70" t="s">
        <v>923</v>
      </c>
      <c r="I70" t="s">
        <v>924</v>
      </c>
      <c r="J70" t="s">
        <v>241</v>
      </c>
      <c r="K70" t="s">
        <v>925</v>
      </c>
      <c r="L70" t="s">
        <v>296</v>
      </c>
      <c r="M70" t="s">
        <v>728</v>
      </c>
      <c r="N70" t="s">
        <v>926</v>
      </c>
      <c r="O70" t="s">
        <v>927</v>
      </c>
    </row>
    <row r="71" spans="1:15">
      <c r="A71" t="s">
        <v>928</v>
      </c>
      <c r="B71" t="s">
        <v>929</v>
      </c>
      <c r="C71" t="s">
        <v>930</v>
      </c>
      <c r="D71" t="s">
        <v>910</v>
      </c>
      <c r="E71" t="s">
        <v>911</v>
      </c>
      <c r="H71" t="s">
        <v>931</v>
      </c>
      <c r="I71" t="s">
        <v>932</v>
      </c>
      <c r="J71" t="s">
        <v>933</v>
      </c>
      <c r="K71" t="s">
        <v>934</v>
      </c>
      <c r="L71" t="s">
        <v>333</v>
      </c>
      <c r="M71" t="s">
        <v>728</v>
      </c>
      <c r="N71" t="s">
        <v>935</v>
      </c>
      <c r="O71" t="s">
        <v>936</v>
      </c>
    </row>
    <row r="72" spans="1:15">
      <c r="A72" t="s">
        <v>937</v>
      </c>
      <c r="B72" t="s">
        <v>938</v>
      </c>
      <c r="C72" t="s">
        <v>939</v>
      </c>
      <c r="D72" t="s">
        <v>940</v>
      </c>
      <c r="E72" t="s">
        <v>941</v>
      </c>
      <c r="F72" t="s">
        <v>942</v>
      </c>
      <c r="G72" t="s">
        <v>943</v>
      </c>
      <c r="H72" t="s">
        <v>944</v>
      </c>
      <c r="I72" t="s">
        <v>945</v>
      </c>
      <c r="J72" t="s">
        <v>946</v>
      </c>
      <c r="K72" t="s">
        <v>947</v>
      </c>
      <c r="L72" t="s">
        <v>948</v>
      </c>
      <c r="M72" t="s">
        <v>728</v>
      </c>
      <c r="N72" t="s">
        <v>949</v>
      </c>
      <c r="O72" t="s">
        <v>950</v>
      </c>
    </row>
    <row r="73" spans="1:15">
      <c r="A73" t="s">
        <v>951</v>
      </c>
      <c r="B73" t="s">
        <v>952</v>
      </c>
      <c r="C73" t="s">
        <v>953</v>
      </c>
      <c r="D73" t="s">
        <v>954</v>
      </c>
      <c r="E73" t="s">
        <v>955</v>
      </c>
      <c r="F73" t="s">
        <v>956</v>
      </c>
      <c r="G73" t="s">
        <v>957</v>
      </c>
      <c r="H73" t="s">
        <v>958</v>
      </c>
      <c r="I73" t="s">
        <v>959</v>
      </c>
      <c r="J73" t="s">
        <v>960</v>
      </c>
      <c r="K73" t="s">
        <v>961</v>
      </c>
      <c r="L73" t="s">
        <v>962</v>
      </c>
      <c r="M73" t="s">
        <v>244</v>
      </c>
      <c r="N73" t="s">
        <v>963</v>
      </c>
      <c r="O73" t="s">
        <v>964</v>
      </c>
    </row>
    <row r="74" spans="1:15">
      <c r="A74" t="s">
        <v>965</v>
      </c>
      <c r="B74" t="s">
        <v>966</v>
      </c>
      <c r="C74" t="s">
        <v>967</v>
      </c>
      <c r="D74" t="s">
        <v>968</v>
      </c>
      <c r="E74" t="s">
        <v>969</v>
      </c>
      <c r="F74" t="s">
        <v>970</v>
      </c>
      <c r="G74" t="s">
        <v>970</v>
      </c>
      <c r="H74" t="s">
        <v>971</v>
      </c>
      <c r="I74" t="s">
        <v>972</v>
      </c>
      <c r="J74" t="s">
        <v>973</v>
      </c>
      <c r="K74" t="s">
        <v>974</v>
      </c>
      <c r="L74" t="s">
        <v>226</v>
      </c>
      <c r="M74" t="s">
        <v>53</v>
      </c>
      <c r="N74" t="s">
        <v>975</v>
      </c>
      <c r="O74" t="s">
        <v>976</v>
      </c>
    </row>
    <row r="75" spans="1:15">
      <c r="A75" t="s">
        <v>977</v>
      </c>
      <c r="B75" t="s">
        <v>978</v>
      </c>
      <c r="C75" t="s">
        <v>979</v>
      </c>
      <c r="D75" t="s">
        <v>750</v>
      </c>
      <c r="E75" t="s">
        <v>980</v>
      </c>
      <c r="F75" t="s">
        <v>981</v>
      </c>
      <c r="G75" t="s">
        <v>981</v>
      </c>
      <c r="H75" t="s">
        <v>982</v>
      </c>
      <c r="I75" t="s">
        <v>870</v>
      </c>
      <c r="J75" t="s">
        <v>983</v>
      </c>
      <c r="K75" t="s">
        <v>882</v>
      </c>
      <c r="L75" t="s">
        <v>883</v>
      </c>
      <c r="M75" t="s">
        <v>984</v>
      </c>
      <c r="N75" t="s">
        <v>985</v>
      </c>
      <c r="O75" t="s">
        <v>986</v>
      </c>
    </row>
    <row r="76" spans="1:15">
      <c r="A76" t="s">
        <v>987</v>
      </c>
      <c r="B76" t="s">
        <v>988</v>
      </c>
      <c r="C76" t="s">
        <v>989</v>
      </c>
      <c r="D76" t="s">
        <v>990</v>
      </c>
      <c r="E76" t="s">
        <v>991</v>
      </c>
      <c r="F76" t="s">
        <v>992</v>
      </c>
      <c r="G76" t="s">
        <v>993</v>
      </c>
      <c r="H76" t="s">
        <v>994</v>
      </c>
      <c r="I76" t="s">
        <v>995</v>
      </c>
      <c r="J76" t="s">
        <v>996</v>
      </c>
      <c r="K76" t="s">
        <v>934</v>
      </c>
      <c r="L76" t="s">
        <v>333</v>
      </c>
      <c r="M76" t="s">
        <v>39</v>
      </c>
      <c r="N76" t="s">
        <v>935</v>
      </c>
      <c r="O76" t="s">
        <v>997</v>
      </c>
    </row>
    <row r="77" spans="1:15">
      <c r="A77" t="s">
        <v>998</v>
      </c>
      <c r="B77" t="s">
        <v>999</v>
      </c>
      <c r="C77" t="s">
        <v>1000</v>
      </c>
      <c r="D77" t="s">
        <v>1001</v>
      </c>
      <c r="E77" t="s">
        <v>1002</v>
      </c>
      <c r="F77" t="s">
        <v>1003</v>
      </c>
      <c r="G77" t="s">
        <v>1003</v>
      </c>
      <c r="H77" t="s">
        <v>1004</v>
      </c>
      <c r="I77" t="s">
        <v>1005</v>
      </c>
      <c r="J77" t="s">
        <v>1006</v>
      </c>
      <c r="K77" t="s">
        <v>1007</v>
      </c>
      <c r="L77" t="s">
        <v>333</v>
      </c>
      <c r="M77" t="s">
        <v>39</v>
      </c>
      <c r="N77" t="s">
        <v>1008</v>
      </c>
      <c r="O77" t="s">
        <v>1009</v>
      </c>
    </row>
    <row r="78" spans="1:15">
      <c r="A78" t="s">
        <v>977</v>
      </c>
      <c r="B78" t="s">
        <v>978</v>
      </c>
      <c r="C78" t="s">
        <v>979</v>
      </c>
      <c r="D78" t="s">
        <v>750</v>
      </c>
      <c r="E78" t="s">
        <v>980</v>
      </c>
      <c r="F78" t="s">
        <v>1010</v>
      </c>
      <c r="G78" t="s">
        <v>1010</v>
      </c>
      <c r="H78" t="s">
        <v>1011</v>
      </c>
      <c r="I78" t="s">
        <v>1012</v>
      </c>
      <c r="J78" t="s">
        <v>1013</v>
      </c>
      <c r="K78" t="s">
        <v>1014</v>
      </c>
      <c r="L78" t="s">
        <v>1015</v>
      </c>
      <c r="M78" t="s">
        <v>53</v>
      </c>
      <c r="N78" t="s">
        <v>1016</v>
      </c>
      <c r="O78" t="s">
        <v>1017</v>
      </c>
    </row>
    <row r="79" spans="1:15">
      <c r="A79" t="s">
        <v>1018</v>
      </c>
      <c r="B79" t="s">
        <v>1019</v>
      </c>
      <c r="C79" t="s">
        <v>1020</v>
      </c>
      <c r="D79" t="s">
        <v>1021</v>
      </c>
      <c r="E79" t="s">
        <v>1021</v>
      </c>
      <c r="F79" t="s">
        <v>1022</v>
      </c>
      <c r="G79" t="s">
        <v>1022</v>
      </c>
      <c r="H79" t="s">
        <v>1023</v>
      </c>
      <c r="I79" t="s">
        <v>1024</v>
      </c>
      <c r="J79" t="s">
        <v>1025</v>
      </c>
      <c r="K79" t="s">
        <v>1026</v>
      </c>
      <c r="L79" t="s">
        <v>40</v>
      </c>
      <c r="M79" t="s">
        <v>39</v>
      </c>
      <c r="N79" t="s">
        <v>768</v>
      </c>
      <c r="O79" t="s">
        <v>1027</v>
      </c>
    </row>
    <row r="80" spans="1:15">
      <c r="A80" t="s">
        <v>1028</v>
      </c>
      <c r="B80" t="s">
        <v>1029</v>
      </c>
      <c r="C80" t="s">
        <v>1030</v>
      </c>
      <c r="D80" t="s">
        <v>1031</v>
      </c>
      <c r="E80" t="s">
        <v>1032</v>
      </c>
      <c r="F80" t="s">
        <v>1033</v>
      </c>
      <c r="G80" t="s">
        <v>1033</v>
      </c>
      <c r="H80" t="s">
        <v>1034</v>
      </c>
      <c r="I80" t="s">
        <v>1035</v>
      </c>
      <c r="J80" t="s">
        <v>1036</v>
      </c>
      <c r="K80" t="s">
        <v>1037</v>
      </c>
      <c r="L80" t="s">
        <v>948</v>
      </c>
      <c r="M80" t="s">
        <v>39</v>
      </c>
      <c r="N80" t="s">
        <v>1038</v>
      </c>
      <c r="O80" t="s">
        <v>1039</v>
      </c>
    </row>
    <row r="81" spans="1:15">
      <c r="A81" t="s">
        <v>1040</v>
      </c>
      <c r="B81" t="s">
        <v>1029</v>
      </c>
      <c r="C81" t="s">
        <v>1030</v>
      </c>
      <c r="D81" t="s">
        <v>1031</v>
      </c>
      <c r="E81" t="s">
        <v>1032</v>
      </c>
      <c r="F81" t="s">
        <v>1033</v>
      </c>
      <c r="G81" t="s">
        <v>1033</v>
      </c>
      <c r="H81" t="s">
        <v>1041</v>
      </c>
      <c r="I81" t="s">
        <v>1042</v>
      </c>
      <c r="J81" t="s">
        <v>1043</v>
      </c>
      <c r="K81" t="s">
        <v>1037</v>
      </c>
      <c r="L81" t="s">
        <v>948</v>
      </c>
      <c r="M81" t="s">
        <v>39</v>
      </c>
      <c r="N81" t="s">
        <v>1044</v>
      </c>
      <c r="O81" t="s">
        <v>1039</v>
      </c>
    </row>
    <row r="82" spans="1:15">
      <c r="A82" t="s">
        <v>1045</v>
      </c>
      <c r="B82" t="s">
        <v>1046</v>
      </c>
      <c r="C82" t="s">
        <v>1047</v>
      </c>
      <c r="D82" t="s">
        <v>1048</v>
      </c>
      <c r="E82" t="s">
        <v>1049</v>
      </c>
      <c r="F82" t="s">
        <v>1050</v>
      </c>
      <c r="G82" t="s">
        <v>1051</v>
      </c>
      <c r="H82" t="s">
        <v>1052</v>
      </c>
      <c r="I82" t="s">
        <v>1053</v>
      </c>
      <c r="J82" t="s">
        <v>1054</v>
      </c>
      <c r="K82" t="s">
        <v>1055</v>
      </c>
      <c r="L82" t="s">
        <v>333</v>
      </c>
      <c r="M82" t="s">
        <v>39</v>
      </c>
      <c r="N82" t="s">
        <v>1056</v>
      </c>
      <c r="O82" t="s">
        <v>1057</v>
      </c>
    </row>
    <row r="83" spans="1:15">
      <c r="A83" t="s">
        <v>1058</v>
      </c>
      <c r="B83" t="s">
        <v>1059</v>
      </c>
      <c r="C83" t="s">
        <v>1060</v>
      </c>
      <c r="D83" t="s">
        <v>1048</v>
      </c>
      <c r="E83" t="s">
        <v>1049</v>
      </c>
      <c r="F83" t="s">
        <v>1050</v>
      </c>
      <c r="G83" t="s">
        <v>1051</v>
      </c>
      <c r="H83" t="s">
        <v>1061</v>
      </c>
      <c r="I83" t="s">
        <v>1053</v>
      </c>
      <c r="J83" t="s">
        <v>1062</v>
      </c>
      <c r="K83" t="s">
        <v>1063</v>
      </c>
      <c r="L83" t="s">
        <v>333</v>
      </c>
      <c r="M83" t="s">
        <v>39</v>
      </c>
      <c r="N83" t="s">
        <v>1056</v>
      </c>
      <c r="O83" t="s">
        <v>1064</v>
      </c>
    </row>
    <row r="84" spans="1:15">
      <c r="A84" t="s">
        <v>1065</v>
      </c>
      <c r="B84" t="s">
        <v>1066</v>
      </c>
      <c r="C84" t="s">
        <v>1067</v>
      </c>
      <c r="D84" t="s">
        <v>1068</v>
      </c>
      <c r="E84" t="s">
        <v>1069</v>
      </c>
      <c r="F84" t="s">
        <v>1070</v>
      </c>
      <c r="G84" t="s">
        <v>1071</v>
      </c>
      <c r="H84" t="s">
        <v>1072</v>
      </c>
      <c r="I84" t="s">
        <v>1053</v>
      </c>
      <c r="J84" t="s">
        <v>1073</v>
      </c>
      <c r="K84" t="s">
        <v>1074</v>
      </c>
      <c r="L84" t="s">
        <v>333</v>
      </c>
      <c r="M84" t="s">
        <v>39</v>
      </c>
      <c r="N84" t="s">
        <v>1075</v>
      </c>
      <c r="O84" t="s">
        <v>1076</v>
      </c>
    </row>
    <row r="85" spans="1:15">
      <c r="A85" t="s">
        <v>1077</v>
      </c>
      <c r="B85" t="s">
        <v>1078</v>
      </c>
      <c r="C85" t="s">
        <v>1079</v>
      </c>
      <c r="H85" t="s">
        <v>1080</v>
      </c>
      <c r="I85" t="s">
        <v>1081</v>
      </c>
      <c r="J85" t="s">
        <v>1082</v>
      </c>
      <c r="K85" t="s">
        <v>1083</v>
      </c>
      <c r="L85" t="s">
        <v>333</v>
      </c>
      <c r="M85" t="s">
        <v>39</v>
      </c>
      <c r="N85" t="s">
        <v>1084</v>
      </c>
      <c r="O85" t="s">
        <v>1085</v>
      </c>
    </row>
    <row r="86" spans="1:15">
      <c r="A86" t="s">
        <v>1086</v>
      </c>
      <c r="B86" t="s">
        <v>1087</v>
      </c>
      <c r="C86" t="s">
        <v>1088</v>
      </c>
      <c r="D86" t="s">
        <v>1089</v>
      </c>
      <c r="H86" t="s">
        <v>1090</v>
      </c>
      <c r="I86" t="s">
        <v>1091</v>
      </c>
      <c r="J86" t="s">
        <v>1092</v>
      </c>
      <c r="K86" t="s">
        <v>1093</v>
      </c>
      <c r="L86" t="s">
        <v>296</v>
      </c>
      <c r="M86" t="s">
        <v>39</v>
      </c>
      <c r="N86" t="s">
        <v>1094</v>
      </c>
      <c r="O86" t="s">
        <v>1095</v>
      </c>
    </row>
    <row r="87" spans="1:15">
      <c r="A87" t="s">
        <v>1096</v>
      </c>
      <c r="B87" t="s">
        <v>1097</v>
      </c>
      <c r="C87" t="s">
        <v>1098</v>
      </c>
      <c r="H87" t="s">
        <v>1099</v>
      </c>
      <c r="I87" t="s">
        <v>1100</v>
      </c>
      <c r="J87" t="s">
        <v>1101</v>
      </c>
      <c r="K87" t="s">
        <v>296</v>
      </c>
      <c r="L87" t="s">
        <v>296</v>
      </c>
      <c r="M87" t="s">
        <v>39</v>
      </c>
      <c r="N87" t="s">
        <v>1102</v>
      </c>
      <c r="O87" t="s">
        <v>1103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07190A8636AB5479C485CD3C3592CF1" ma:contentTypeVersion="19" ma:contentTypeDescription="Crie um novo documento." ma:contentTypeScope="" ma:versionID="a9af5b1055ac071f7c437ea2e391bd50">
  <xsd:schema xmlns:xsd="http://www.w3.org/2001/XMLSchema" xmlns:xs="http://www.w3.org/2001/XMLSchema" xmlns:p="http://schemas.microsoft.com/office/2006/metadata/properties" xmlns:ns2="e20c2311-a67e-47b4-a624-6eab1491844b" xmlns:ns3="1f4bdb89-d73c-49b2-bd2c-05645fcfc535" targetNamespace="http://schemas.microsoft.com/office/2006/metadata/properties" ma:root="true" ma:fieldsID="3c8d48865bc6de8f41ad56f7eabc2771" ns2:_="" ns3:_="">
    <xsd:import namespace="e20c2311-a67e-47b4-a624-6eab1491844b"/>
    <xsd:import namespace="1f4bdb89-d73c-49b2-bd2c-05645fcfc53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0c2311-a67e-47b4-a624-6eab1491844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8c4b1e2-21c1-4f15-bd82-653be9899492}" ma:internalName="TaxCatchAll" ma:showField="CatchAllData" ma:web="e20c2311-a67e-47b4-a624-6eab149184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4bdb89-d73c-49b2-bd2c-05645fcfc5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bd889bbc-47bc-46e8-abcd-eacef3bafc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4bdb89-d73c-49b2-bd2c-05645fcfc535">
      <Terms xmlns="http://schemas.microsoft.com/office/infopath/2007/PartnerControls"/>
    </lcf76f155ced4ddcb4097134ff3c332f>
    <TaxCatchAll xmlns="e20c2311-a67e-47b4-a624-6eab1491844b" xsi:nil="true"/>
    <MediaLengthInSeconds xmlns="1f4bdb89-d73c-49b2-bd2c-05645fcfc535" xsi:nil="true"/>
    <SharedWithUsers xmlns="e20c2311-a67e-47b4-a624-6eab1491844b">
      <UserInfo>
        <DisplayName/>
        <AccountId xsi:nil="true"/>
        <AccountType/>
      </UserInfo>
    </SharedWithUsers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EB1E138-9BF6-44E2-B53E-2951DDD5CE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20c2311-a67e-47b4-a624-6eab1491844b"/>
    <ds:schemaRef ds:uri="1f4bdb89-d73c-49b2-bd2c-05645fcfc5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1A74BD-B4B3-40FC-A0C9-5CA39B9D01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2DC0F3-50F0-4035-B932-CB901C5C4C38}">
  <ds:schemaRefs>
    <ds:schemaRef ds:uri="http://schemas.microsoft.com/office/2006/metadata/properties"/>
    <ds:schemaRef ds:uri="http://schemas.microsoft.com/office/infopath/2007/PartnerControls"/>
    <ds:schemaRef ds:uri="ccd41ef1-9ea0-4cb0-aca6-907977cf9d54"/>
    <ds:schemaRef ds:uri="a8c4e5e1-bb23-48af-b0fc-55762d619925"/>
    <ds:schemaRef ds:uri="1f4bdb89-d73c-49b2-bd2c-05645fcfc535"/>
    <ds:schemaRef ds:uri="e20c2311-a67e-47b4-a624-6eab1491844b"/>
  </ds:schemaRefs>
</ds:datastoreItem>
</file>

<file path=customXml/itemProps4.xml><?xml version="1.0" encoding="utf-8"?>
<ds:datastoreItem xmlns:ds="http://schemas.openxmlformats.org/officeDocument/2006/customXml" ds:itemID="{82F52CCD-1F8B-404E-96BC-B509BD982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12</vt:i4>
      </vt:variant>
    </vt:vector>
  </HeadingPairs>
  <TitlesOfParts>
    <vt:vector size="16" baseType="lpstr">
      <vt:lpstr>Ordem de Compra</vt:lpstr>
      <vt:lpstr>Familia</vt:lpstr>
      <vt:lpstr>Produtos</vt:lpstr>
      <vt:lpstr>Fornecedores </vt:lpstr>
      <vt:lpstr>BARUERI</vt:lpstr>
      <vt:lpstr>ES</vt:lpstr>
      <vt:lpstr>Fornecedores_Pasta</vt:lpstr>
      <vt:lpstr>HW</vt:lpstr>
      <vt:lpstr>'Ordem de Compra'!INTERATELL</vt:lpstr>
      <vt:lpstr>LIC</vt:lpstr>
      <vt:lpstr>NATUREZAES</vt:lpstr>
      <vt:lpstr>NATUREZASP</vt:lpstr>
      <vt:lpstr>Produtos_Pasta</vt:lpstr>
      <vt:lpstr>SERRA</vt:lpstr>
      <vt:lpstr>SP</vt:lpstr>
      <vt:lpstr>SW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Mauricio Santos da Mota</dc:creator>
  <cp:keywords/>
  <dc:description/>
  <cp:lastModifiedBy>Kezia Pereira</cp:lastModifiedBy>
  <cp:revision/>
  <dcterms:created xsi:type="dcterms:W3CDTF">2023-07-27T19:05:25Z</dcterms:created>
  <dcterms:modified xsi:type="dcterms:W3CDTF">2026-07-30T13:32:23Z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0x010100E07190A8636AB5479C485CD3C3592CF1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Order">
    <vt:r8>4343800</vt:r8>
  </property>
</Properties>
</file>