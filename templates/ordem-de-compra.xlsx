
<file path=[Content_Types].xml><?xml version="1.0" encoding="utf-8"?>
<Types xmlns="http://schemas.openxmlformats.org/package/2006/content-types">
  <Default Extension="emf" ContentType="image/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Default Extension="vml" ContentType="application/vnd.openxmlformats-officedocument.vmlDrawing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/>
  </bookViews>
  <sheets>
    <sheet sheetId="4" name="Ordem de Compra" state="visible" r:id="rId4"/>
    <sheet sheetId="8" name="Familia" state="hidden" r:id="rId5"/>
    <sheet sheetId="20" name="Produtos" state="hidden" r:id="rId6"/>
    <sheet sheetId="16" name="Fornecedores " state="hidden" r:id="rId7"/>
  </sheets>
  <definedNames>
    <definedName name="_xlnm._FilterDatabase">Familia!$B$2:$D$2</definedName>
    <definedName name="BARUERI">Familia!$F$3:$F$5</definedName>
    <definedName name="DadosExternos_2">'Fornecedores '!$A$1:$O$89</definedName>
    <definedName name="ES">Familia!$D$3:$D$16</definedName>
    <definedName name="HW">Familia!$I$3</definedName>
    <definedName name="INTERATELL">'Ordem de Compra'!$U$9:$AI$10</definedName>
    <definedName name="LIC">Familia!$K$3</definedName>
    <definedName name="NATUREZAES">Familia!$G$3</definedName>
    <definedName name="NATUREZASP">Familia!$F$3:$F$5</definedName>
    <definedName name="Produtos_Pasta">Produtos!$A$2:$I$481</definedName>
    <definedName name="SERRA">Familia!$G$3</definedName>
    <definedName name="SP">Familia!$B$3:$B$43</definedName>
    <definedName name="SW">Familia!$J$3</definedName>
  </definedNames>
  <calcPr calcId="171027"/>
</workbook>
</file>

<file path=xl/comments4.xml><?xml version="1.0" encoding="utf-8"?>
<comments xmlns="http://schemas.openxmlformats.org/spreadsheetml/2006/main">
  <authors>
    <author>Author</author>
  </authors>
  <commentList>
    <comment ref="J2" authorId="0">
      <text>
        <r>
          <rPr>
            <family val="2"/>
            <sz val="10"/>
            <rFont val="Arial"/>
          </rPr>
          <t>EXEMPLO PREENCHIMENTO &gt;&gt;&gt;  2023.340</t>
        </r>
      </text>
    </comment>
    <comment ref="J3" authorId="0">
      <text>
        <r>
          <rPr>
            <family val="2"/>
            <sz val="10"/>
            <rFont val="Arial"/>
          </rPr>
          <t>EXEMPLO PREENCHIMENTO &gt;&gt;&gt;  11/07/23</t>
        </r>
      </text>
    </comment>
    <comment ref="J4" authorId="0">
      <text>
        <r>
          <rPr>
            <family val="2"/>
            <sz val="10"/>
            <rFont val="Arial"/>
          </rPr>
          <t>EXEMPLO PREENCHIMENTO &gt;&gt;&gt;  11/07/23</t>
        </r>
      </text>
    </comment>
    <comment ref="N4" authorId="0">
      <text>
        <r>
          <rPr>
            <family val="2"/>
            <sz val="10"/>
            <rFont val="Arial"/>
          </rPr>
          <t>EXEMPLO PREENCHIMENTO &gt;&gt;&gt;  11/07/23</t>
        </r>
      </text>
    </comment>
    <comment ref="J6" authorId="0">
      <text>
        <r>
          <rPr>
            <family val="2"/>
            <sz val="10"/>
            <rFont val="Arial"/>
          </rPr>
          <t>SELECIONE A OPÇÃO</t>
        </r>
      </text>
    </comment>
    <comment ref="N6" authorId="0">
      <text>
        <r>
          <rPr>
            <family val="2"/>
            <sz val="10"/>
            <rFont val="Arial"/>
          </rPr>
          <t>SELECIONE A OPÇÃO</t>
        </r>
      </text>
    </comment>
    <comment ref="G11" authorId="0">
      <text>
        <r>
          <rPr>
            <b/>
            <color indexed="81"/>
            <family val="2"/>
            <sz val="9"/>
            <rFont val="Segoe UI"/>
          </rPr>
          <t>OBRIGATÓRIO PREENCHER</t>
        </r>
      </text>
    </comment>
    <comment ref="G12" authorId="0">
      <text>
        <r>
          <rPr>
            <b/>
            <color indexed="81"/>
            <family val="2"/>
            <sz val="9"/>
            <rFont val="Segoe UI"/>
          </rPr>
          <t>OBRIGATÓRIO PREENCHER</t>
        </r>
      </text>
    </comment>
    <comment ref="G13" authorId="0">
      <text>
        <r>
          <rPr>
            <b/>
            <color indexed="81"/>
            <family val="2"/>
            <sz val="9"/>
            <rFont val="Segoe UI"/>
          </rPr>
          <t>OBRIGATÓRIO PREENCHER</t>
        </r>
      </text>
    </comment>
    <comment ref="G14" authorId="0">
      <text>
        <r>
          <rPr>
            <b/>
            <color indexed="81"/>
            <family val="2"/>
            <sz val="9"/>
            <rFont val="Segoe UI"/>
          </rPr>
          <t>OBRIGATÓRIO PREENCHER</t>
        </r>
      </text>
    </comment>
    <comment ref="A16" authorId="0">
      <text>
        <r>
          <rPr>
            <family val="2"/>
            <sz val="10"/>
            <rFont val="Arial"/>
          </rPr>
          <t>OBRIGATÓRIO PREENCHER</t>
        </r>
      </text>
    </comment>
    <comment ref="H16" authorId="0">
      <text>
        <r>
          <rPr>
            <b/>
            <color indexed="81"/>
            <family val="2"/>
            <sz val="9"/>
            <rFont val="Segoe UI"/>
          </rPr>
          <t xml:space="preserve">PARA INCLUIR OUTRA LINHA ABAIXO.
PRESSIONE ( ALT + ENTER )</t>
        </r>
      </text>
    </comment>
    <comment ref="D18" authorId="0">
      <text>
        <r>
          <rPr>
            <family val="2"/>
            <sz val="10"/>
            <rFont val="Arial"/>
          </rPr>
          <t>OBRIGATÓRIO PREENCHER</t>
        </r>
      </text>
    </comment>
    <comment ref="G18" authorId="0">
      <text>
        <r>
          <rPr>
            <family val="2"/>
            <sz val="10"/>
            <rFont val="Arial"/>
          </rPr>
          <t>Obrigatório preenchimento do ( I.E ) caso for "contribuinte"</t>
        </r>
      </text>
    </comment>
    <comment ref="G19" authorId="0">
      <text>
        <r>
          <rPr>
            <family val="2"/>
            <sz val="10"/>
            <rFont val="Arial"/>
          </rPr>
          <t>OBRIGATÓRIO PREENCHER</t>
        </r>
      </text>
    </comment>
    <comment ref="D20" authorId="0">
      <text>
        <r>
          <rPr>
            <family val="2"/>
            <sz val="10"/>
            <rFont val="Arial"/>
          </rPr>
          <t>OBRIGATÓRIO PREENCHER</t>
        </r>
      </text>
    </comment>
    <comment ref="G20" authorId="0">
      <text>
        <r>
          <rPr>
            <family val="2"/>
            <sz val="10"/>
            <rFont val="Arial"/>
          </rPr>
          <t>OBRIGATÓRIO PREENCHER</t>
        </r>
      </text>
    </comment>
    <comment ref="G21" authorId="0">
      <text>
        <r>
          <rPr>
            <family val="2"/>
            <sz val="10"/>
            <rFont val="Arial"/>
          </rPr>
          <t>OBRIGATÓRIO PREENCHER</t>
        </r>
      </text>
    </comment>
    <comment ref="B22" authorId="0">
      <text>
        <r>
          <rPr>
            <family val="2"/>
            <sz val="10"/>
            <rFont val="Arial"/>
          </rPr>
          <t>OBRIGATÓRIO PREENCHER</t>
        </r>
      </text>
    </comment>
    <comment ref="G22" authorId="0">
      <text>
        <r>
          <rPr>
            <family val="2"/>
            <sz val="10"/>
            <rFont val="Arial"/>
          </rPr>
          <t>OBRIGATÓRIO PREENCHER</t>
        </r>
      </text>
    </comment>
    <comment ref="H22" authorId="0">
      <text>
        <r>
          <rPr>
            <b/>
            <color indexed="81"/>
            <family val="2"/>
            <sz val="9"/>
            <rFont val="Segoe UI"/>
          </rPr>
          <t xml:space="preserve">PARA INCLUIR OUTRA LINHA ABAIXO.
PRESSIONE ( ALT + ENTER )</t>
        </r>
      </text>
    </comment>
    <comment ref="B23" authorId="0">
      <text>
        <r>
          <rPr>
            <family val="2"/>
            <sz val="10"/>
            <rFont val="Arial"/>
          </rPr>
          <t>OBRIGATÓRIO PREENCHER</t>
        </r>
      </text>
    </comment>
    <comment ref="F29" authorId="0">
      <text>
        <r>
          <rPr>
            <b/>
            <color indexed="81"/>
            <family val="2"/>
            <sz val="9"/>
            <rFont val="Segoe UI"/>
          </rPr>
          <t>SELECIONE A OPÇÃO</t>
        </r>
      </text>
    </comment>
    <comment ref="G29" authorId="0">
      <text>
        <r>
          <rPr>
            <b/>
            <color indexed="81"/>
            <family val="2"/>
            <sz val="9"/>
            <rFont val="Segoe UI"/>
          </rPr>
          <t>SELECIONE A OPÇÃO</t>
        </r>
      </text>
    </comment>
    <comment ref="H29" authorId="0">
      <text>
        <r>
          <rPr>
            <b/>
            <color indexed="81"/>
            <family val="2"/>
            <sz val="9"/>
            <rFont val="Segoe UI"/>
          </rPr>
          <t>SELECIONE A OPÇÃO</t>
        </r>
      </text>
    </comment>
    <comment ref="I29" authorId="0">
      <text>
        <r>
          <rPr>
            <b/>
            <color indexed="81"/>
            <family val="2"/>
            <sz val="9"/>
            <rFont val="Segoe UI"/>
          </rPr>
          <t>SELECIONE A OPÇÃO</t>
        </r>
        <r>
          <rPr>
            <color indexed="81"/>
            <family val="2"/>
            <sz val="9"/>
            <rFont val="Segoe UI"/>
          </rPr>
          <t xml:space="preserve">
</t>
        </r>
      </text>
    </comment>
    <comment ref="J29" authorId="0">
      <text>
        <r>
          <rPr>
            <b/>
            <color indexed="81"/>
            <family val="2"/>
            <sz val="9"/>
            <rFont val="Segoe UI"/>
          </rPr>
          <t>SELECIONE A OPÇÃO</t>
        </r>
      </text>
    </comment>
  </commentList>
</comments>
</file>

<file path=xl/sharedStrings.xml><?xml version="1.0" encoding="utf-8"?>
<sst xmlns="http://schemas.openxmlformats.org/spreadsheetml/2006/main" count="1531" uniqueCount="1123">
  <si>
    <t>Proposta Comercial</t>
  </si>
  <si>
    <t xml:space="preserve">2026.12257 </t>
  </si>
  <si>
    <t>Data da Criação OC:</t>
  </si>
  <si>
    <t>Data Prazo de Entrega:</t>
  </si>
  <si>
    <t>Data Previsão de Fat:</t>
  </si>
  <si>
    <t xml:space="preserve"> </t>
  </si>
  <si>
    <t>Condição de Pag Compra:</t>
  </si>
  <si>
    <t>A60 - Para 60 Dias</t>
  </si>
  <si>
    <t>Condição de Pag Venda:</t>
  </si>
  <si>
    <t>A45 - Para 45 Dias</t>
  </si>
  <si>
    <t>Versão: OC_JUN_25</t>
  </si>
  <si>
    <t>DISTRIBUIDOR / FORNECEDOR</t>
  </si>
  <si>
    <t xml:space="preserve">INTERATELL </t>
  </si>
  <si>
    <t>INTERATELL - Coluna 1</t>
  </si>
  <si>
    <t>CNPJ - Coluna 2</t>
  </si>
  <si>
    <t>I.E - Coluna 3</t>
  </si>
  <si>
    <t>Email - Coluna 4</t>
  </si>
  <si>
    <t>Contato - Coluna 5</t>
  </si>
  <si>
    <t>Telefone 1 - Coluna 6</t>
  </si>
  <si>
    <t>Telefone 2 - Coluna 7</t>
  </si>
  <si>
    <t>Endereço - Coluna 8</t>
  </si>
  <si>
    <t>Número - Coluna 9</t>
  </si>
  <si>
    <t>Complemento - Coluna 10</t>
  </si>
  <si>
    <t>Bairro - Coluna 11</t>
  </si>
  <si>
    <t>Cidade - Coluna 12</t>
  </si>
  <si>
    <t>Estado - Coluna 13</t>
  </si>
  <si>
    <t>NATUREZA - Coluna 14</t>
  </si>
  <si>
    <t>CEP - Coluna 15</t>
  </si>
  <si>
    <t>FORMULA PROCV</t>
  </si>
  <si>
    <t>LHD COMERCIO DE EQUIPAMENTOS ELETRÔNICOS LTDA - SP</t>
  </si>
  <si>
    <t>CNPJ:</t>
  </si>
  <si>
    <t>INTERATELL INTEGRACOES E TELECOMUNICACOES LTDA- ES</t>
  </si>
  <si>
    <t>PARCELAS</t>
  </si>
  <si>
    <t xml:space="preserve">INTERATELL INTEGRAÇÕES E TELECOMUNICAÇÕES LTDA – BARUERI </t>
  </si>
  <si>
    <t>03.969.530/0001-30</t>
  </si>
  <si>
    <t>206.122.484.113</t>
  </si>
  <si>
    <t>financeiro@interatell.com.br</t>
  </si>
  <si>
    <t>Gabriella Amaro</t>
  </si>
  <si>
    <t>(11) 3303-3324</t>
  </si>
  <si>
    <t>Avenida Copacabana</t>
  </si>
  <si>
    <t>Andar 2 Conj. 201</t>
  </si>
  <si>
    <t>Empresarial 18 Do Forte</t>
  </si>
  <si>
    <t>Barueri</t>
  </si>
  <si>
    <t>SP</t>
  </si>
  <si>
    <t>BARUERI</t>
  </si>
  <si>
    <t>06.472-001</t>
  </si>
  <si>
    <t>CEP:</t>
  </si>
  <si>
    <t>I.E:</t>
  </si>
  <si>
    <t>COMPRA</t>
  </si>
  <si>
    <t>VENDA</t>
  </si>
  <si>
    <t>03.969.530/0002-11</t>
  </si>
  <si>
    <t>084.000.44-9</t>
  </si>
  <si>
    <t>Rua Porto Alegre</t>
  </si>
  <si>
    <t>G.02 MOD02B</t>
  </si>
  <si>
    <t>Nova Zelândia</t>
  </si>
  <si>
    <t>Serra ES</t>
  </si>
  <si>
    <t>ES</t>
  </si>
  <si>
    <t xml:space="preserve">SERRA </t>
  </si>
  <si>
    <t>29.175-706</t>
  </si>
  <si>
    <t>Cidade:</t>
  </si>
  <si>
    <t>Estado:</t>
  </si>
  <si>
    <t>Contato:</t>
  </si>
  <si>
    <t>RAFAEL FERRARO</t>
  </si>
  <si>
    <t>A28 - Para 28 Dias</t>
  </si>
  <si>
    <t>Bairro:</t>
  </si>
  <si>
    <t>Telefone:</t>
  </si>
  <si>
    <t>11 2973-3249</t>
  </si>
  <si>
    <t>A30 - Para 30 Dias</t>
  </si>
  <si>
    <t>T54 - Para 30 Dias</t>
  </si>
  <si>
    <t>Endereço:</t>
  </si>
  <si>
    <t>Número:</t>
  </si>
  <si>
    <t>11 99790-5616</t>
  </si>
  <si>
    <t>Complemento:</t>
  </si>
  <si>
    <t>E-mail:</t>
  </si>
  <si>
    <t>rafaelferraro@lhdtelecom.com.br</t>
  </si>
  <si>
    <t>CLIENTE FINAL</t>
  </si>
  <si>
    <t>OBSERVAÇÃO DO COMPRADOR</t>
  </si>
  <si>
    <t>A74 - Para 75 Dias</t>
  </si>
  <si>
    <t>AVENUE HOCHE COMERCIO VAREJISTA DE PRODUTOS LTDA</t>
  </si>
  <si>
    <t>15.048.124/0036-44</t>
  </si>
  <si>
    <t xml:space="preserve">QUALQUER FATURAMENTO DEVE SER REALIZADO SOMENTE APÓS AUTORIZAÇÃO FORMAL DE GAMARO@INTERATELL.COM.BR OU DOLIVEIRA@INTERATELL.COM.BR
NÃO FATURAR APÓS DIA 25 DE CADA MÊS (DATA DE CORTE)
ENVIAR NOTAS E BOLETOS PARA O EMAIL: FINANCEIRO@INTERATELL.COM.BR
PRAZO DE PAGAMENTO EM 60 DIAS</t>
  </si>
  <si>
    <t>A90 - Para 90 Dias</t>
  </si>
  <si>
    <t xml:space="preserve">CEP: </t>
  </si>
  <si>
    <t>71.219-900</t>
  </si>
  <si>
    <t>Contribuinte:</t>
  </si>
  <si>
    <t>SIM</t>
  </si>
  <si>
    <t>B20 - Para 120 Dias</t>
  </si>
  <si>
    <t>BRASILIA</t>
  </si>
  <si>
    <t>DF</t>
  </si>
  <si>
    <t>B50 - Para 150 Dias</t>
  </si>
  <si>
    <t>ZONA INDUSTRIAL (GUARA)</t>
  </si>
  <si>
    <t>Elizabeth Silva</t>
  </si>
  <si>
    <t>S07 - 30/45/60 Dias</t>
  </si>
  <si>
    <t>S23 - 30/45/60 Dias</t>
  </si>
  <si>
    <t>A SMAS</t>
  </si>
  <si>
    <t>S/N</t>
  </si>
  <si>
    <t>-</t>
  </si>
  <si>
    <t>S30 - 30/60/90 Dias</t>
  </si>
  <si>
    <t>S18 - 30/60/90 Dias</t>
  </si>
  <si>
    <t>6580 LUC 153-A/B PISO TERREO SHOPPING CENTER DE BRASILIA</t>
  </si>
  <si>
    <t>OBSERVAÇÃO INTERNA</t>
  </si>
  <si>
    <t>S53 - Para 30/60/90/120</t>
  </si>
  <si>
    <t>S25 - Para 30/60/90/120</t>
  </si>
  <si>
    <t>P.O :</t>
  </si>
  <si>
    <t>PO 5000155346</t>
  </si>
  <si>
    <t>Email:</t>
  </si>
  <si>
    <t>Elizabeth.SILVA@sephora.com</t>
  </si>
  <si>
    <t>OBS: Recebimento de NF de 01/08 até 18/08.</t>
  </si>
  <si>
    <t>S75 - Para 1/30/60/90</t>
  </si>
  <si>
    <t>P66 - Para 1/30/60/90</t>
  </si>
  <si>
    <t xml:space="preserve">Gerente de Contas : </t>
  </si>
  <si>
    <t xml:space="preserve">RENATO FERRARO </t>
  </si>
  <si>
    <t>000 - Para A Vista</t>
  </si>
  <si>
    <t>001 - Para 1 parcelas</t>
  </si>
  <si>
    <t>001 - Para 1 parcelas;</t>
  </si>
  <si>
    <t>002 - Para 2 parcelas</t>
  </si>
  <si>
    <t>003 - Para 3 parcelas</t>
  </si>
  <si>
    <t>004 - Para 4 parcelas</t>
  </si>
  <si>
    <t>CUSTO TOTAL</t>
  </si>
  <si>
    <t>VENDA TOTAL</t>
  </si>
  <si>
    <t>005 - Para 5 parcelas</t>
  </si>
  <si>
    <t>ITEM</t>
  </si>
  <si>
    <t>PART #</t>
  </si>
  <si>
    <t>Descrição do Produto</t>
  </si>
  <si>
    <t>LOCAL DO ESTOQUE</t>
  </si>
  <si>
    <t>CFOP</t>
  </si>
  <si>
    <t>NATUREZA</t>
  </si>
  <si>
    <t>FAMILIA</t>
  </si>
  <si>
    <t>NCM</t>
  </si>
  <si>
    <t>QTE</t>
  </si>
  <si>
    <t>Unitário (R$)</t>
  </si>
  <si>
    <t>Total (R$)</t>
  </si>
  <si>
    <t>006 - Para 6 parcelas</t>
  </si>
  <si>
    <t>RADIOBP516 _</t>
  </si>
  <si>
    <t>Rádio corporativo modelo BP516 _</t>
  </si>
  <si>
    <t>HW</t>
  </si>
  <si>
    <t>Outros - Fami- 5411396394</t>
  </si>
  <si>
    <t>8517.62.59</t>
  </si>
  <si>
    <t>FONEBP516 _</t>
  </si>
  <si>
    <t>Fone blindado para modelo BP516 _</t>
  </si>
  <si>
    <t>008  Para 8 parcelas</t>
  </si>
  <si>
    <t>008 - Para 8 parcelas</t>
  </si>
  <si>
    <t/>
  </si>
  <si>
    <t>009 - Para 9 parcelas</t>
  </si>
  <si>
    <t>010 - Para 10 parcelas</t>
  </si>
  <si>
    <t>012 - Para 12 parcelas</t>
  </si>
  <si>
    <t>024 - Para 24 parcelas</t>
  </si>
  <si>
    <t>036 - Para 36 parcelas</t>
  </si>
  <si>
    <t>048 - Para 48 parcelas</t>
  </si>
  <si>
    <t>Espirito Santo</t>
  </si>
  <si>
    <t>NATUREZA HW</t>
  </si>
  <si>
    <t>NATUREZA SW</t>
  </si>
  <si>
    <t>NATUREZA LIC</t>
  </si>
  <si>
    <t>NATUREZA ST</t>
  </si>
  <si>
    <t>Aruba - Hardware - 2081927710</t>
  </si>
  <si>
    <t>Aruba - Hardware - 5193041599</t>
  </si>
  <si>
    <t>0000.00.00</t>
  </si>
  <si>
    <t>Aruba - Licença - 2081927725</t>
  </si>
  <si>
    <t>Checkpoint - Hardware - 5193055171</t>
  </si>
  <si>
    <t>SW</t>
  </si>
  <si>
    <t>Aruba - Software - 2081927797</t>
  </si>
  <si>
    <t>Cisco - Hardware - 5193055403</t>
  </si>
  <si>
    <t>LC</t>
  </si>
  <si>
    <t>Checkpoint - Hardware - 2081928362</t>
  </si>
  <si>
    <t>Fortinet - Hardware - 5193055497</t>
  </si>
  <si>
    <t>ST</t>
  </si>
  <si>
    <t>Checkpoint - Licença - 2081928392</t>
  </si>
  <si>
    <t>Furukawa - Hardware - 5226919005</t>
  </si>
  <si>
    <t>Checkpoint - Software - 2081928423</t>
  </si>
  <si>
    <t>HP - Hardware - 5193056281</t>
  </si>
  <si>
    <t>Cisco - Hardware - 2081928474</t>
  </si>
  <si>
    <t>HPE - Hardware - 5409033867</t>
  </si>
  <si>
    <t>Cisco - Licença - 2081928489</t>
  </si>
  <si>
    <t>Intelbras - Hardware - 5227063785</t>
  </si>
  <si>
    <t>Cisco - Software - 2081928499</t>
  </si>
  <si>
    <t>Logitech - Hardware - 5193056425</t>
  </si>
  <si>
    <t>Fortinet - Hardware - 2081928508</t>
  </si>
  <si>
    <t>Microsoft - Hardware - 5407897042</t>
  </si>
  <si>
    <t>Fortinet - Licença - 2081928516</t>
  </si>
  <si>
    <t>Fortinet - Software - 2081928547</t>
  </si>
  <si>
    <t>Furukawa - Hardware - 2101313207</t>
  </si>
  <si>
    <t>Poly - Hardware - 5193057202</t>
  </si>
  <si>
    <t>Furukawa - Licença - 2101313397</t>
  </si>
  <si>
    <t>Yealink - Hardware - 5227091521</t>
  </si>
  <si>
    <t>Furukawa - Software - 2101314357</t>
  </si>
  <si>
    <t>HP - Hardware - 2081928554</t>
  </si>
  <si>
    <t>HP - Licença - 2081928561</t>
  </si>
  <si>
    <t>HP - Software - 2081928580</t>
  </si>
  <si>
    <t>HPE - Hardware - 2163576450</t>
  </si>
  <si>
    <t>HPE - Licença - 2163576529</t>
  </si>
  <si>
    <t>HPE - Software - 2163576959</t>
  </si>
  <si>
    <t>Intelbras - Hardware - 2101375261</t>
  </si>
  <si>
    <t>Intelbras - Licença - 2101375369</t>
  </si>
  <si>
    <t>Intelbras - Software - 2101375342</t>
  </si>
  <si>
    <t>Logitech - Hardware - 2081928583</t>
  </si>
  <si>
    <t>Logitech - Licença - 2081928600</t>
  </si>
  <si>
    <t>Logitech - Software - 2081928624</t>
  </si>
  <si>
    <t>Microsoft - Hardware - 2081928639</t>
  </si>
  <si>
    <t>Microsoft - Licença - 2081928677</t>
  </si>
  <si>
    <t>Microsoft - Software - 2081928701</t>
  </si>
  <si>
    <t>Outros - Fami - 2164790403</t>
  </si>
  <si>
    <t>Palo Alto - Hardware - 2081928719</t>
  </si>
  <si>
    <t>Palo Alto - Licença - 2081928724</t>
  </si>
  <si>
    <t>Palo Alto - Software - 2081928739</t>
  </si>
  <si>
    <t>Poly - Hardware - 2081928825</t>
  </si>
  <si>
    <t>Poly - Serviços - 2081928836</t>
  </si>
  <si>
    <t>Poly - Software - 2081928847</t>
  </si>
  <si>
    <t>Vmware - Sotfware - 2093070670</t>
  </si>
  <si>
    <t>Yealink - Hardware - 2101377412</t>
  </si>
  <si>
    <t>Yealink - Licença - 2101377485</t>
  </si>
  <si>
    <t>Yealink - Software - 2101377471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</si>
  <si>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</si>
  <si>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</si>
  <si>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</si>
  <si>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</si>
  <si>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</si>
  <si>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</si>
  <si>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</si>
  <si>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</si>
  <si>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</si>
  <si>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</si>
  <si>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</si>
  <si>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</si>
  <si>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</si>
  <si>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</si>
  <si>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</si>
  <si>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DISTRIBUIDOR / FORNECEDOR - Coluna 1</t>
  </si>
  <si>
    <t>CEP - Coluna 14</t>
  </si>
  <si>
    <t xml:space="preserve">Endereço Completo (Formula Concatenar) </t>
  </si>
  <si>
    <t>A C P M SERVICOS E COMERCIO - ES</t>
  </si>
  <si>
    <t>09.121.909/0001-72</t>
  </si>
  <si>
    <t>84520205</t>
  </si>
  <si>
    <t xml:space="preserve"> ana.pires@acorp.com.br
</t>
  </si>
  <si>
    <t>Ana Pires</t>
  </si>
  <si>
    <t xml:space="preserve">(11) 5535-3759 </t>
  </si>
  <si>
    <t xml:space="preserve">11 99992-2578 </t>
  </si>
  <si>
    <t>AV LAGOA ENCANTADA</t>
  </si>
  <si>
    <t>220</t>
  </si>
  <si>
    <t>ARMZ A6 SALA 11</t>
  </si>
  <si>
    <t>VALE ENCANTADO</t>
  </si>
  <si>
    <t>VILA VELHA</t>
  </si>
  <si>
    <t>29113-515</t>
  </si>
  <si>
    <t>AV LAGOA ENCANTADA, 220 - CEP: 29113-515 - ARMZ A6 SALA 11 , VALE ENCANTADO, VILA VELHA/ES</t>
  </si>
  <si>
    <t>AGIS EQUIPAMENTOS E SERVICOS DE INFORMATICA LTDA - ES</t>
  </si>
  <si>
    <t>68.993.641/0010-19</t>
  </si>
  <si>
    <t xml:space="preserve"> 083520856</t>
  </si>
  <si>
    <t>rafael.muroni@agis.com.br</t>
  </si>
  <si>
    <t>Rafael Muroni</t>
  </si>
  <si>
    <t>(19) 3756-4658</t>
  </si>
  <si>
    <t xml:space="preserve"> Rua SAMUEL MEIRA BRASIL</t>
  </si>
  <si>
    <t>394</t>
  </si>
  <si>
    <t xml:space="preserve">SALA 18 </t>
  </si>
  <si>
    <t>TAQUARA II</t>
  </si>
  <si>
    <t>SERRA</t>
  </si>
  <si>
    <t>29.167-650</t>
  </si>
  <si>
    <t xml:space="preserve"> Rua SAMUEL MEIRA BRASIL, 394 - CEP: 29.167-650 - SALA 18  , TAQUARA II, SERRA/ES</t>
  </si>
  <si>
    <t>AGIS EQUIPAMENTOS E SERVICOS DE INFORMATICA LTDA - ES - 2</t>
  </si>
  <si>
    <t>68.993.641/0008-02</t>
  </si>
  <si>
    <t xml:space="preserve"> 083005323</t>
  </si>
  <si>
    <t>ALGAR TELECOM S/A - MG</t>
  </si>
  <si>
    <t>71.208.516/0001-74</t>
  </si>
  <si>
    <t>7029809450010</t>
  </si>
  <si>
    <t>roberta@hyperparceiroalgar.com.br</t>
  </si>
  <si>
    <t xml:space="preserve">Roberta Asciutti </t>
  </si>
  <si>
    <t>(34) 3256-2961</t>
  </si>
  <si>
    <t>(11) 97380-6305</t>
  </si>
  <si>
    <t>RUA JOSE ALVES GARCIA</t>
  </si>
  <si>
    <t>415</t>
  </si>
  <si>
    <t>N/A</t>
  </si>
  <si>
    <t>Brasil</t>
  </si>
  <si>
    <t>Uberlândia</t>
  </si>
  <si>
    <t>MG</t>
  </si>
  <si>
    <t>38400-668</t>
  </si>
  <si>
    <t>RUA JOSE ALVES GARCIA, 415 - CEP: 38400-668 - N/A , Brasil, Uberlândia/MG</t>
  </si>
  <si>
    <t>ATIVA 1 TELECOM LTDA</t>
  </si>
  <si>
    <t>21.823.548/0001-01</t>
  </si>
  <si>
    <t>144.253.466.114</t>
  </si>
  <si>
    <t>edilene.martins@ativa1.com.br</t>
  </si>
  <si>
    <t>Ediline Marinho Martins</t>
  </si>
  <si>
    <t>(11) 5585-7771/2</t>
  </si>
  <si>
    <t>(11) 98522-2705</t>
  </si>
  <si>
    <t>AV. FAGUNDES FILHO</t>
  </si>
  <si>
    <t>486</t>
  </si>
  <si>
    <t>CJ.51</t>
  </si>
  <si>
    <t>VILA MONTE ALEGRE</t>
  </si>
  <si>
    <t>São Paulo</t>
  </si>
  <si>
    <t xml:space="preserve">04304-000 </t>
  </si>
  <si>
    <t>AV. FAGUNDES FILHO, 486 - CEP: 04304-000  - CJ.51 , VILA MONTE ALEGRE, São Paulo/SP</t>
  </si>
  <si>
    <t>ARMANDO TIVO – ME - SP</t>
  </si>
  <si>
    <t>05.962.772/0001-28</t>
  </si>
  <si>
    <t>140162971114</t>
  </si>
  <si>
    <t>armando@radarpro.com.br</t>
  </si>
  <si>
    <t>(11) 3259-2919</t>
  </si>
  <si>
    <t>(11) 98168-0000</t>
  </si>
  <si>
    <t>RUA MICHÉL CARRÉ</t>
  </si>
  <si>
    <t>195</t>
  </si>
  <si>
    <t>Jardim Niteroi</t>
  </si>
  <si>
    <t>04434-020</t>
  </si>
  <si>
    <t>RUA MICHÉL CARRÉ, 195 - CEP: 04434-020 - N/A , Jardim Niteroi, São Paulo/SP</t>
  </si>
  <si>
    <t>COGRA COMÉRCIO DE MÁQUINAS LTDA - ES</t>
  </si>
  <si>
    <t>06.064.114/0002-62</t>
  </si>
  <si>
    <t xml:space="preserve"> 082.722.98-6</t>
  </si>
  <si>
    <t>cristiane.aizza@cogra.com.br</t>
  </si>
  <si>
    <t xml:space="preserve">Christiane Aizza 
</t>
  </si>
  <si>
    <t xml:space="preserve">(11) 2821-8914
</t>
  </si>
  <si>
    <t>(11) 2821-8928</t>
  </si>
  <si>
    <t>RODOVIA GOVERNADOR MARIO COVAS</t>
  </si>
  <si>
    <t>10600</t>
  </si>
  <si>
    <t>KM 290 - GALPÃO 14 - SALA 03</t>
  </si>
  <si>
    <t>Serra do Anil</t>
  </si>
  <si>
    <t>Cariacica</t>
  </si>
  <si>
    <t xml:space="preserve">29147-030 </t>
  </si>
  <si>
    <t>RODOVIA GOVERNADOR MARIO COVAS, 10600 - CEP: 29147-030  - KM 290 - GALPÃO 14 - SALA 03 , Serra do Anil, Cariacica/ES</t>
  </si>
  <si>
    <t>FCP SERVICES SOLUÇÕES INTEGRADAS ME (PERALTA) - SP</t>
  </si>
  <si>
    <t>29.738.462/0001-92</t>
  </si>
  <si>
    <t>119069586118</t>
  </si>
  <si>
    <t>francisco.peralta@fcpservices.com.br</t>
  </si>
  <si>
    <t xml:space="preserve"> Francisco Peralta</t>
  </si>
  <si>
    <t>(11) 96744-4586</t>
  </si>
  <si>
    <t>RUA MIGUEL YUNES</t>
  </si>
  <si>
    <t>545</t>
  </si>
  <si>
    <t>Apt 75 Torre 1</t>
  </si>
  <si>
    <t>Usina Piratininga</t>
  </si>
  <si>
    <t>SÃO PAULO</t>
  </si>
  <si>
    <t>04444-000</t>
  </si>
  <si>
    <t>RUA MIGUEL YUNES, 545 - CEP: 04444-000 - Apt 75 Torre 1 , Usina Piratininga, SÃO PAULO/SP</t>
  </si>
  <si>
    <t>GANESH TECHNOLOGY COMERCIO E SERVICOS DE INFORMATICA LTDA - SP</t>
  </si>
  <si>
    <t>08.636.630/0001-69</t>
  </si>
  <si>
    <t>149580828118</t>
  </si>
  <si>
    <t>FINANCEIRO@GANTECH.COM.BR</t>
  </si>
  <si>
    <t>(11) 4062-0039</t>
  </si>
  <si>
    <t>(11) 3877-0745</t>
  </si>
  <si>
    <t>AVENIDA FRANCISCO MATARAZZO</t>
  </si>
  <si>
    <t>1752</t>
  </si>
  <si>
    <t>SALA 1705</t>
  </si>
  <si>
    <t>ÁGUA BRANCA</t>
  </si>
  <si>
    <t>05.001-200</t>
  </si>
  <si>
    <t>AVENIDA FRANCISCO MATARAZZO, 1752 - CEP: 05.001-200 - SALA 1705 , ÁGUA BRANCA, São Paulo/SP</t>
  </si>
  <si>
    <t>INGRAM MICRO BRASIL LTDA - ES -800</t>
  </si>
  <si>
    <t>01.771.935/0008-00</t>
  </si>
  <si>
    <t>082981485</t>
  </si>
  <si>
    <t>johnatan.debroi@ingrammicro.com</t>
  </si>
  <si>
    <t>Johnatan Debroi</t>
  </si>
  <si>
    <t xml:space="preserve">(11) 2078-4677  </t>
  </si>
  <si>
    <t>PORTO ALEGRE</t>
  </si>
  <si>
    <t>307</t>
  </si>
  <si>
    <t xml:space="preserve">GALPÃO 01 MODULO 04 PARTE B ÁREA EU V CIVIT II </t>
  </si>
  <si>
    <t>NOVA ZELÂNDIA</t>
  </si>
  <si>
    <t>29175-706</t>
  </si>
  <si>
    <t>PORTO ALEGRE, 307 - CEP: 29175-706 - GALPÃO 01 MODULO 04 PARTE B ÁREA EU V CIVIT II  , NOVA ZELÂNDIA, SERRA/ES</t>
  </si>
  <si>
    <t>INGRAM MICRO BRASIL LTDA - ES - 025</t>
  </si>
  <si>
    <t>01.771.935/0010-25</t>
  </si>
  <si>
    <t xml:space="preserve">	 083141588</t>
  </si>
  <si>
    <t>INGRAM MICRO BRASIL LTDA - SP - 134</t>
  </si>
  <si>
    <t xml:space="preserve">01.771.935/0001-34 </t>
  </si>
  <si>
    <t>114.234.436.117</t>
  </si>
  <si>
    <t>AV DOUTOR CHUCRI ZAIDAN</t>
  </si>
  <si>
    <t>1240</t>
  </si>
  <si>
    <t>CONJ 2102 2104 ANDAR 21</t>
  </si>
  <si>
    <t>VILA SAO FRANCISCO (ZONA SUL)</t>
  </si>
  <si>
    <t>SAO PAULO</t>
  </si>
  <si>
    <t>04.711-130</t>
  </si>
  <si>
    <t>AV DOUTOR CHUCRI ZAIDAN, 1240 - CEP: 04.711-130 - CONJ 2102 2104 ANDAR 21 , VILA SAO FRANCISCO (ZONA SUL), SAO PAULO/SP</t>
  </si>
  <si>
    <t>INGRAM MICRO BRASIL LTDA - SP - 610</t>
  </si>
  <si>
    <t>01.771.935/0016-10</t>
  </si>
  <si>
    <t>206546140117</t>
  </si>
  <si>
    <t>AV PIRACEMA</t>
  </si>
  <si>
    <t>1341</t>
  </si>
  <si>
    <t>GALPÕES 03 E 04</t>
  </si>
  <si>
    <t>TAMBORÉ</t>
  </si>
  <si>
    <t>06460-030</t>
  </si>
  <si>
    <t>AV PIRACEMA, 1341 - CEP: 06460-030 - GALPÕES 03 E 04 , TAMBORÉ, BARUERI/SP</t>
  </si>
  <si>
    <t>INGRAM MICRO BRASIL LTDA - SP - 215</t>
  </si>
  <si>
    <t>01.771.935/0002-15</t>
  </si>
  <si>
    <t>206074912112</t>
  </si>
  <si>
    <t>(11) 3677-5860</t>
  </si>
  <si>
    <t>206122484113</t>
  </si>
  <si>
    <t>Gustavo Xavier</t>
  </si>
  <si>
    <t>(11) 3303-3325</t>
  </si>
  <si>
    <t>(11) 98587-1649</t>
  </si>
  <si>
    <t>190</t>
  </si>
  <si>
    <t>Avenida Copacabana, 190 - CEP: 06.472-001 - Andar 2 Conj. 201 , Empresarial 18 Do Forte, Barueri/SP</t>
  </si>
  <si>
    <t xml:space="preserve">INTERATELL TELECOMUNICAÇÕES E DESENVOLVIMENTO LTDA </t>
  </si>
  <si>
    <t>05.374.807/0001-08</t>
  </si>
  <si>
    <t>116.501.803.116</t>
  </si>
  <si>
    <t>RUA HENRIQUE SERTÓRIO</t>
  </si>
  <si>
    <t>564</t>
  </si>
  <si>
    <t>SALA 1207, 12 ANDAR</t>
  </si>
  <si>
    <t>TATUAPÉ</t>
  </si>
  <si>
    <t>03.066-065</t>
  </si>
  <si>
    <t>RUA HENRIQUE SERTÓRIO, 564 - CEP: 03.066-065 - SALA 1207, 12 ANDAR , TATUAPÉ, SÃO PAULO/SP</t>
  </si>
  <si>
    <t>INTERATELL INTEGRACOES E TELECOMUNICACOES LTDA - ES</t>
  </si>
  <si>
    <t xml:space="preserve">03.969.530/0002-11 </t>
  </si>
  <si>
    <t xml:space="preserve">RUA PROJETADA </t>
  </si>
  <si>
    <t>280</t>
  </si>
  <si>
    <t>SALA 3G</t>
  </si>
  <si>
    <t>POLO EMPRESARIAL NOVO MEXICO</t>
  </si>
  <si>
    <t xml:space="preserve">VILA VELHA </t>
  </si>
  <si>
    <t>RUA PROJETADA , 280 - CEP: 084.000.44-9 - SALA 3G , POLO EMPRESARIAL NOVO MEXICO, VILA VELHA /ES</t>
  </si>
  <si>
    <t>I4S SERVIÇOS E SOLUÇÕES INTELIGENTES LTDA</t>
  </si>
  <si>
    <t>19.952.413/0001-02</t>
  </si>
  <si>
    <t>206.424.444.112</t>
  </si>
  <si>
    <t>AV COPACABANA</t>
  </si>
  <si>
    <t>177</t>
  </si>
  <si>
    <t xml:space="preserve">SALA 88 GAMA OFFICES </t>
  </si>
  <si>
    <t>DEZOITO DO FORTE EMPRESARIAL</t>
  </si>
  <si>
    <t>AV COPACABANA, 177 - CEP: 06.472-001 - SALA 88 GAMA OFFICES  , DEZOITO DO FORTE EMPRESARIAL, BARUERI/SP</t>
  </si>
  <si>
    <t>JBO COMERCIO E SERVIÇOS DE COMUNICAÇÃO LTDA - SP</t>
  </si>
  <si>
    <t>27.212.089/0001-06</t>
  </si>
  <si>
    <t>635958190110</t>
  </si>
  <si>
    <t xml:space="preserve">icaro@jbobrasil.com.br </t>
  </si>
  <si>
    <t>ÍCARO LUIZ</t>
  </si>
  <si>
    <t xml:space="preserve"> (11) 4177-2120 </t>
  </si>
  <si>
    <t xml:space="preserve">(11) 94189-6563 </t>
  </si>
  <si>
    <t>AVENIDA VIVALDI (VL. VIVALDI)</t>
  </si>
  <si>
    <t>818</t>
  </si>
  <si>
    <t>RUDGE RAMOS</t>
  </si>
  <si>
    <t>SÃO BERNARDO DO CAMPO</t>
  </si>
  <si>
    <t>09.617-000</t>
  </si>
  <si>
    <t>AVENIDA VIVALDI (VL. VIVALDI), 818 - CEP: 09.617-000 - N/A , RUDGE RAMOS, SÃO BERNARDO DO CAMPO/SP</t>
  </si>
  <si>
    <t>KLINT DISTRIBUIDORA DE FIOS E CABOS LTDA - SP</t>
  </si>
  <si>
    <t>02.195.445/0001-08</t>
  </si>
  <si>
    <t>387.394.816.117</t>
  </si>
  <si>
    <t>andressa@klint.com.br</t>
  </si>
  <si>
    <t>Andressa Assiz Bezerra</t>
  </si>
  <si>
    <t xml:space="preserve">(19) 3773-9300 </t>
  </si>
  <si>
    <t>RUA MARGINAL EMICOL</t>
  </si>
  <si>
    <t>COND WEST PARK INDUSTRIALLOTE 07 08 ML 06 QUADRAA</t>
  </si>
  <si>
    <t>Jardim Emicol</t>
  </si>
  <si>
    <t>ITU</t>
  </si>
  <si>
    <t>13312-820</t>
  </si>
  <si>
    <t>RUA MARGINAL EMICOL, S/N - CEP: 13312-820 - COND WEST PARK INDUSTRIALLOTE 07 08 ML 06 QUADRAA , Jardim Emicol, ITU/SP</t>
  </si>
  <si>
    <t>14.619.477/0001-64</t>
  </si>
  <si>
    <t>146720201116</t>
  </si>
  <si>
    <t xml:space="preserve">Rafael Ferraro
</t>
  </si>
  <si>
    <t xml:space="preserve">(11) 2973-3249 </t>
  </si>
  <si>
    <t xml:space="preserve">(11) 9790-5616 </t>
  </si>
  <si>
    <t>RUA MARIA CURUPAITI</t>
  </si>
  <si>
    <t>441</t>
  </si>
  <si>
    <t>CONJ. 2007 G</t>
  </si>
  <si>
    <t>VILA ESTER (ZONA NORTE)</t>
  </si>
  <si>
    <t>02452-001</t>
  </si>
  <si>
    <t>RUA MARIA CURUPAITI, 441 - CEP: 02452-001 - CONJ. 2007 G , VILA ESTER (ZONA NORTE), SÃO PAULO/SP</t>
  </si>
  <si>
    <t>OTG - UXOPEN SOLUTION INVENT COMPANY LTDA - SP</t>
  </si>
  <si>
    <t>04.903.083/0002-60</t>
  </si>
  <si>
    <t>206396111117</t>
  </si>
  <si>
    <t xml:space="preserve"> larissa.madrid@otg.com.br</t>
  </si>
  <si>
    <t xml:space="preserve"> Larissa Madrid</t>
  </si>
  <si>
    <t>(11) 97270-0558</t>
  </si>
  <si>
    <t>Alameda GRAJAU</t>
  </si>
  <si>
    <t>219</t>
  </si>
  <si>
    <t xml:space="preserve">Alphaville Centro Industrial </t>
  </si>
  <si>
    <t>06.454-050</t>
  </si>
  <si>
    <t>Alameda GRAJAU, 219 - CEP: 06.454-050 - N/A , Alphaville Centro Industrial , Barueri/SP</t>
  </si>
  <si>
    <t>PCS SOFTWARE E SERVIÇOS LTDA - SP</t>
  </si>
  <si>
    <t>05.850.893/0001-88</t>
  </si>
  <si>
    <t>148346325113</t>
  </si>
  <si>
    <t>demys.hauk@pcsbrasil.com.br</t>
  </si>
  <si>
    <t xml:space="preserve">Demys Hauk 
</t>
  </si>
  <si>
    <t>(11)3075-2933</t>
  </si>
  <si>
    <t>(11) 97763-8000</t>
  </si>
  <si>
    <t>RUA MINISTRO NELSON HUNGRIA</t>
  </si>
  <si>
    <t>239</t>
  </si>
  <si>
    <t>CONJ. 05</t>
  </si>
  <si>
    <t>VILA TRAMONTANO</t>
  </si>
  <si>
    <t>05.690-050</t>
  </si>
  <si>
    <t>RUA MINISTRO NELSON HUNGRIA, 239 - CEP: 05.690-050 - CONJ. 05 , VILA TRAMONTANO, SÃO PAULO/SP</t>
  </si>
  <si>
    <t>PORTAL DO CISCO COMÉRCIO DE EQUIPAMENTOS ELETRONICOS LTDA</t>
  </si>
  <si>
    <t>07.457.931/0001-62</t>
  </si>
  <si>
    <t>117080990111</t>
  </si>
  <si>
    <t>rctelecom@hotmail.com</t>
  </si>
  <si>
    <t xml:space="preserve">Rodolfo Cardoso
</t>
  </si>
  <si>
    <t xml:space="preserve">(11) 2546-4260 </t>
  </si>
  <si>
    <t>(11) 99232-6066</t>
  </si>
  <si>
    <t>Rua RUI PIROZZELLI</t>
  </si>
  <si>
    <t>52</t>
  </si>
  <si>
    <t>Sala 1</t>
  </si>
  <si>
    <t>Jd. Matarazzo</t>
  </si>
  <si>
    <t>03.811-020</t>
  </si>
  <si>
    <t>Rua RUI PIROZZELLI, 52 - CEP: 03.811-020 - Sala 1 , Jd. Matarazzo, São Paulo/SP</t>
  </si>
  <si>
    <t>ROUTERLINK IT SOLUTIONS AND SERVICES LTDA - SP</t>
  </si>
  <si>
    <t>05.032.228/0001-87</t>
  </si>
  <si>
    <t>116370080116</t>
  </si>
  <si>
    <t>ricardo.shiguedomi@routerlink.com.br</t>
  </si>
  <si>
    <t>Ricardo Shiguedomi</t>
  </si>
  <si>
    <t xml:space="preserve">(11) 3164-5706 </t>
  </si>
  <si>
    <t>(11) 5586-5656</t>
  </si>
  <si>
    <t>AVENIDA FAGUNDES FILHO</t>
  </si>
  <si>
    <t>191</t>
  </si>
  <si>
    <t>SALA 151 E152</t>
  </si>
  <si>
    <t>04.304-010</t>
  </si>
  <si>
    <t>AVENIDA FAGUNDES FILHO, 191 - CEP: 04.304-010 - SALA 151 E152 , VILA MONTE ALEGRE, SÃO PAULO/SP</t>
  </si>
  <si>
    <t>R S INFORMATICA SOLUCOES EM TECNOLOGIA</t>
  </si>
  <si>
    <t>21.460.930/0001-06</t>
  </si>
  <si>
    <t>05.434.727-0</t>
  </si>
  <si>
    <t>ronei@rsinformaticati.com.br</t>
  </si>
  <si>
    <t>Ronei Silva</t>
  </si>
  <si>
    <t>(92) 99131-6896</t>
  </si>
  <si>
    <t>AV BOM JESUS</t>
  </si>
  <si>
    <t>485</t>
  </si>
  <si>
    <t xml:space="preserve">COLONIA TERRA NOVA </t>
  </si>
  <si>
    <t>MANAUS</t>
  </si>
  <si>
    <t>AM</t>
  </si>
  <si>
    <t xml:space="preserve">69.015-300 </t>
  </si>
  <si>
    <t>AV BOM JESUS, 485 - CEP: 69.015-300  -  , COLONIA TERRA NOVA , MANAUS/AM</t>
  </si>
  <si>
    <t>SCANSOURCE BRASIL DISTRIBUIDORA DE TECNOLOGIAS - ES</t>
  </si>
  <si>
    <t>05.607.657/0010-26</t>
  </si>
  <si>
    <t>083152890</t>
  </si>
  <si>
    <t>Aline.Nascimento@scansource.com</t>
  </si>
  <si>
    <t xml:space="preserve">Aline V. Nascimento </t>
  </si>
  <si>
    <t>(11) 3049-0322</t>
  </si>
  <si>
    <t>(11) 99731-9477</t>
  </si>
  <si>
    <t xml:space="preserve">R PORTO ALEGRE </t>
  </si>
  <si>
    <t xml:space="preserve">GALPAO2 ARMZ 2 MODULO 01 PARTE A AREA UE V </t>
  </si>
  <si>
    <t xml:space="preserve">NOVA ZELANDIA </t>
  </si>
  <si>
    <t>29173-795</t>
  </si>
  <si>
    <t>R PORTO ALEGRE , 307 - CEP: 29173-795 - GALPAO2 ARMZ 2 MODULO 01 PARTE A AREA UE V  , NOVA ZELANDIA , SERRA/ES</t>
  </si>
  <si>
    <t>SCANSOURCE BRASIL DISTRIBUIDORA DE TECNOLOGIAS - GO</t>
  </si>
  <si>
    <t>05.607.657/0009-92</t>
  </si>
  <si>
    <t>103684948</t>
  </si>
  <si>
    <t>Av. Independência</t>
  </si>
  <si>
    <t>1146</t>
  </si>
  <si>
    <t>LTS 20/21</t>
  </si>
  <si>
    <t>St. Leste Vila Nova</t>
  </si>
  <si>
    <t>Goiânia</t>
  </si>
  <si>
    <t>GO</t>
  </si>
  <si>
    <t>74645-010</t>
  </si>
  <si>
    <t>Av. Independência, 1146 - CEP: 74645-010 - LTS 20/21 , St. Leste Vila Nova, Goiânia/GO</t>
  </si>
  <si>
    <t>SCANSOURCE BRASIL DISTRIBUIDORA DE TECNOLOGIAS - PR</t>
  </si>
  <si>
    <t>05.607.657/0001-35</t>
  </si>
  <si>
    <t>90295527137</t>
  </si>
  <si>
    <t>AV. RUI BARBOSA</t>
  </si>
  <si>
    <t>2529</t>
  </si>
  <si>
    <t>GALPÃO 11 E 12</t>
  </si>
  <si>
    <t>JARDIM IPÊ</t>
  </si>
  <si>
    <t>SÃO JOSÉ DOS PINHAIS</t>
  </si>
  <si>
    <t>PR</t>
  </si>
  <si>
    <t>83055-320</t>
  </si>
  <si>
    <t>AV. RUI BARBOSA, 2529 - CEP: 83055-320 - GALPÃO 11 E 12 , JARDIM IPÊ, SÃO JOSÉ DOS PINHAIS/PR</t>
  </si>
  <si>
    <t>SCANSOURCE BRASIL DISTRIBUIDORA DE TECNOLOGIAS - SC</t>
  </si>
  <si>
    <t>05.607.657/0008-01</t>
  </si>
  <si>
    <t>257721789</t>
  </si>
  <si>
    <t>RUA DOMINGOS RAMPELOTTI</t>
  </si>
  <si>
    <t>3.501</t>
  </si>
  <si>
    <t>MODULO 12 A E B</t>
  </si>
  <si>
    <t>SÃO ROQUE</t>
  </si>
  <si>
    <t xml:space="preserve"> Itajaí</t>
  </si>
  <si>
    <t>SC</t>
  </si>
  <si>
    <t>88307-102</t>
  </si>
  <si>
    <t>RUA DOMINGOS RAMPELOTTI, 3.501 - CEP: 88307-102 - MODULO 12 A E B , SÃO ROQUE,  Itajaí/SC</t>
  </si>
  <si>
    <t>SCANSOURCE BRASIL DISTRIBUIDORA DE TECNOLOGIAS - SP</t>
  </si>
  <si>
    <t>05.607.657/0011-07</t>
  </si>
  <si>
    <t>241136098115</t>
  </si>
  <si>
    <t>AVENIDA DOUTOR ANTONIO JOAO ABDALLA</t>
  </si>
  <si>
    <t>260</t>
  </si>
  <si>
    <t>LOTE AREA A BLOCO 200 SALA 1</t>
  </si>
  <si>
    <t>CRISTAIS</t>
  </si>
  <si>
    <t>CAJAMAR</t>
  </si>
  <si>
    <t>07776-700</t>
  </si>
  <si>
    <t>AVENIDA DOUTOR ANTONIO JOAO ABDALLA, 260 - CEP: 07776-700 - LOTE AREA A BLOCO 200 SALA 1 , CRISTAIS, CAJAMAR/SP</t>
  </si>
  <si>
    <t>SIS COMERCIO E SERVICOS DE COMUNICACAO LTDA</t>
  </si>
  <si>
    <t>44.265.951/0001-68</t>
  </si>
  <si>
    <t>121.402.720.113</t>
  </si>
  <si>
    <t>danilo@sisengenharia.com.b</t>
  </si>
  <si>
    <t>Danilo Oliveira</t>
  </si>
  <si>
    <t>(11) 4451-5110</t>
  </si>
  <si>
    <t>(11)  9894-0899</t>
  </si>
  <si>
    <t>AV DOM PEDRO I</t>
  </si>
  <si>
    <t>2460</t>
  </si>
  <si>
    <t>SALA 11</t>
  </si>
  <si>
    <t>SANTO ANDRE</t>
  </si>
  <si>
    <t>09.130-400</t>
  </si>
  <si>
    <t>AV DOM PEDRO I, 2460 - CEP: 09.130-400 - SALA 11 , SANTO ANDRE, SÃO PAULO/SP</t>
  </si>
  <si>
    <t>SUMAUMA COMPUTADOES E TELECOMUNICAÇÕES LTDA - SP</t>
  </si>
  <si>
    <t>01.230.666/0001-07</t>
  </si>
  <si>
    <t>114686959116</t>
  </si>
  <si>
    <t>denisarantes@sumaumatelecom.com.br</t>
  </si>
  <si>
    <t xml:space="preserve">Denis V.Arantes
</t>
  </si>
  <si>
    <t>(11) 3966-2454</t>
  </si>
  <si>
    <t>(11) 99663-0944</t>
  </si>
  <si>
    <t>RUA MARAMBAIA</t>
  </si>
  <si>
    <t>424</t>
  </si>
  <si>
    <t>SALA 14</t>
  </si>
  <si>
    <t>Casa Verde</t>
  </si>
  <si>
    <t>02513-000</t>
  </si>
  <si>
    <t>RUA MARAMBAIA, 424 - CEP: 02513-000 - SALA 14 , Casa Verde, SÃO PAULO/SP</t>
  </si>
  <si>
    <t>SUMUS INFORMATICA E COMERCIO LTDA</t>
  </si>
  <si>
    <t>56.806.920/0001-56</t>
  </si>
  <si>
    <t>115306495119</t>
  </si>
  <si>
    <t>rodrigo.regis@sumus.com.br</t>
  </si>
  <si>
    <t xml:space="preserve">Rodrigo Regis
</t>
  </si>
  <si>
    <t>(11) 2847-1816</t>
  </si>
  <si>
    <t>RUA CANARIO</t>
  </si>
  <si>
    <t>615</t>
  </si>
  <si>
    <t xml:space="preserve">TERREO E 1 ANDAR </t>
  </si>
  <si>
    <t>MOEMA</t>
  </si>
  <si>
    <t xml:space="preserve">04.521-002 </t>
  </si>
  <si>
    <t>RUA CANARIO, 615 - CEP: 04.521-002  - TERREO E 1 ANDAR  , MOEMA, SÃO PAULO/SP</t>
  </si>
  <si>
    <t>PCI PROTEÇÃO CABOS INFORMÁTICA LTDA</t>
  </si>
  <si>
    <t xml:space="preserve">	07.870.634/0001-44</t>
  </si>
  <si>
    <t>148.096.142.112</t>
  </si>
  <si>
    <t>vendas@primecabos.com.br</t>
  </si>
  <si>
    <t xml:space="preserve">Jose Carlos Alves
</t>
  </si>
  <si>
    <t xml:space="preserve">(11) 3362-1313 </t>
  </si>
  <si>
    <t>RUA GAL OSORIO</t>
  </si>
  <si>
    <t>330</t>
  </si>
  <si>
    <t xml:space="preserve">SANTA EFIGENIA </t>
  </si>
  <si>
    <t xml:space="preserve">SAO PAULO </t>
  </si>
  <si>
    <t>01.213-000</t>
  </si>
  <si>
    <t>RUA GAL OSORIO, 330 - CEP: 01.213-000 -  , SANTA EFIGENIA , SAO PAULO /SP</t>
  </si>
  <si>
    <t>SYMA SOLUTIONS/MATRIZ</t>
  </si>
  <si>
    <t>04.912.543/0001-36</t>
  </si>
  <si>
    <t>9025702503</t>
  </si>
  <si>
    <t>hugo@syma.com.br</t>
  </si>
  <si>
    <t>Hugo Yanaka</t>
  </si>
  <si>
    <t>(44) 4009-9110</t>
  </si>
  <si>
    <t>(44) 99921-9515</t>
  </si>
  <si>
    <t>AV. JOÃO PAULINO VIEIRA FILHO</t>
  </si>
  <si>
    <t>625</t>
  </si>
  <si>
    <t>SALA 21</t>
  </si>
  <si>
    <t>Zona Sete</t>
  </si>
  <si>
    <t>Maringá</t>
  </si>
  <si>
    <t>87020-015</t>
  </si>
  <si>
    <t>AV. JOÃO PAULINO VIEIRA FILHO, 625 - CEP: 87020-015 - SALA 21 , Zona Sete, Maringá/PR</t>
  </si>
  <si>
    <t>TECNOAMBAR ELETRICIDADE E AUTOMAÇÃO LTDA – ME - SP</t>
  </si>
  <si>
    <t>24.666.442/0001-30</t>
  </si>
  <si>
    <t>395056075110</t>
  </si>
  <si>
    <t>carlos.varoni@tecnoambar.com.br</t>
  </si>
  <si>
    <t>Carlos Varoni</t>
  </si>
  <si>
    <t>(19) 3837-1874</t>
  </si>
  <si>
    <t>(19) 99998-3464</t>
  </si>
  <si>
    <t>AV. ALEXANDRE MARION</t>
  </si>
  <si>
    <t>707</t>
  </si>
  <si>
    <t>Jardim Santa Mercedes</t>
  </si>
  <si>
    <t>Jaguariúna</t>
  </si>
  <si>
    <t>13.912-544</t>
  </si>
  <si>
    <t>AV. ALEXANDRE MARION, 707 - CEP: 13.912-544 - N/A , Jardim Santa Mercedes, Jaguariúna/SP</t>
  </si>
  <si>
    <t>UNENTEL SOLUÇÕES TECNOLÓGICAS LTDA - BA</t>
  </si>
  <si>
    <t>19.557.079/0001-84</t>
  </si>
  <si>
    <t>805011364114</t>
  </si>
  <si>
    <t>vera.thomaz@unentel.com.br</t>
  </si>
  <si>
    <t>Dayanna Rosa</t>
  </si>
  <si>
    <t xml:space="preserve">(11) 3201-7070 </t>
  </si>
  <si>
    <t xml:space="preserve">(11) 9 3317-6479 </t>
  </si>
  <si>
    <t>AVENIDA SANTIAGO DE COMPOSTELA</t>
  </si>
  <si>
    <t>192</t>
  </si>
  <si>
    <t>LJ</t>
  </si>
  <si>
    <t>PARQUE BELA VISTA</t>
  </si>
  <si>
    <t>SALVADOR</t>
  </si>
  <si>
    <t>BA</t>
  </si>
  <si>
    <t>40.279-150</t>
  </si>
  <si>
    <t>AVENIDA SANTIAGO DE COMPOSTELA, 192 - CEP: 40.279-150 - LJ , PARQUE BELA VISTA, SALVADOR/BA</t>
  </si>
  <si>
    <t>UNENTEL SOLUÇÕES TECNOLÓGICAS LTDA - ES</t>
  </si>
  <si>
    <t>19.557.079/0003-46</t>
  </si>
  <si>
    <t>083320385</t>
  </si>
  <si>
    <t>KM 279, SALA 13</t>
  </si>
  <si>
    <t>TIMS</t>
  </si>
  <si>
    <t>29161-382</t>
  </si>
  <si>
    <t>RODOVIA GOVERNADOR MARIO COVAS, S/N - CEP: 29161-382 - KM 279, SALA 13 , TIMS, SERRA/ES</t>
  </si>
  <si>
    <t>WESTCON BRASIL LTDA - ES</t>
  </si>
  <si>
    <t>28.268.233/0007-84</t>
  </si>
  <si>
    <t>82585440</t>
  </si>
  <si>
    <t>peterson.amancio@tdsynnex.com</t>
  </si>
  <si>
    <t>Peterson Amancio</t>
  </si>
  <si>
    <t xml:space="preserve">(11) 5525- 7989 </t>
  </si>
  <si>
    <t>(11) 99945-4253</t>
  </si>
  <si>
    <t>AV. ACESSO RODOVIÁRIO</t>
  </si>
  <si>
    <t>Q8, MÓDULO M-01, SALA 02</t>
  </si>
  <si>
    <t>29161-376</t>
  </si>
  <si>
    <t>AV. ACESSO RODOVIÁRIO, S/N - CEP: 29161-376 - Q8, MÓDULO M-01, SALA 02 , TIMS, SERRA/ES</t>
  </si>
  <si>
    <t>WESTCON BRASIL LTDA - RJ</t>
  </si>
  <si>
    <t>28.268.233/0006-01</t>
  </si>
  <si>
    <t>78597224</t>
  </si>
  <si>
    <t>RUA VICTOR CIVITA</t>
  </si>
  <si>
    <t>77</t>
  </si>
  <si>
    <t>BLOCO 1 - SALA 201</t>
  </si>
  <si>
    <t>Jacarepagua</t>
  </si>
  <si>
    <t>RIO DE JANEIRO</t>
  </si>
  <si>
    <t>RJ</t>
  </si>
  <si>
    <t>22775-022</t>
  </si>
  <si>
    <t>RUA VICTOR CIVITA, 77 - CEP: 22775-022 - BLOCO 1 - SALA 201 , Jacarepagua, RIO DE JANEIRO/RJ</t>
  </si>
  <si>
    <t>WESTCON BRASIL LTDA - SP</t>
  </si>
  <si>
    <t>28.268.233/0008-65</t>
  </si>
  <si>
    <t>808011045110</t>
  </si>
  <si>
    <t>RUA JOSÉ SEMIÃO RODRIGUES AGOSTINHO</t>
  </si>
  <si>
    <t>1370</t>
  </si>
  <si>
    <t xml:space="preserve">GALPÃO 43 </t>
  </si>
  <si>
    <t>ÁGUA ESPRAIADA</t>
  </si>
  <si>
    <t>EMBU DAS ARTES</t>
  </si>
  <si>
    <t>06833-370</t>
  </si>
  <si>
    <t>RUA JOSÉ SEMIÃO RODRIGUES AGOSTINHO, 1370 - CEP: 06833-370 - GALPÃO 43  , ÁGUA ESPRAIADA, EMBU DAS ARTES/SP</t>
  </si>
  <si>
    <t>Mtech Soluções . Telecomunicações e Sistemas de Segurança</t>
  </si>
  <si>
    <t>26.231.669/0001-88</t>
  </si>
  <si>
    <t xml:space="preserve"> alexandre.mtech@gmail.com</t>
  </si>
  <si>
    <t xml:space="preserve">Alexandre Coutinho </t>
  </si>
  <si>
    <t xml:space="preserve"> (48) 99904-1019</t>
  </si>
  <si>
    <t>Rua Joaquim José Antunes</t>
  </si>
  <si>
    <t>194</t>
  </si>
  <si>
    <t>Campeche</t>
  </si>
  <si>
    <t>Florianópolis</t>
  </si>
  <si>
    <t>88065-160</t>
  </si>
  <si>
    <t>Rua Joaquim José Antunes, 194 - CEP: 88065-160 -  , Campeche, Florianópolis/SC</t>
  </si>
  <si>
    <t>PCI PRIME CABOS INFORMATICA E ELETRICA LTDA</t>
  </si>
  <si>
    <t>03.878.575/0001-08</t>
  </si>
  <si>
    <t>131.035.873.112</t>
  </si>
  <si>
    <t>josecarlos.alves70@gmail.com</t>
  </si>
  <si>
    <t>Jose Carlos Alves</t>
  </si>
  <si>
    <t xml:space="preserve">11 3362-1313 </t>
  </si>
  <si>
    <t>322</t>
  </si>
  <si>
    <t>SANTA EFIGENIA</t>
  </si>
  <si>
    <t>01213000</t>
  </si>
  <si>
    <t>RUA GAL OSORIO, 322 - CEP: 01213000 -  , SANTA EFIGENIA, SAO PAULO /SP</t>
  </si>
  <si>
    <t>DEALER SHOP DISTRIBUICAO LTDA</t>
  </si>
  <si>
    <t>21.678.718/0001-01</t>
  </si>
  <si>
    <t>144188006110</t>
  </si>
  <si>
    <t>miryanne.dantas@dealershop.com.br</t>
  </si>
  <si>
    <t>Miryanne Dantas</t>
  </si>
  <si>
    <t xml:space="preserve">Rua Guarizinho, </t>
  </si>
  <si>
    <t>35</t>
  </si>
  <si>
    <t>02530-010</t>
  </si>
  <si>
    <t>Rua Guarizinho, , 35 - CEP: 02530-010 -  , Casa Verde, SAO PAULO /SP</t>
  </si>
  <si>
    <t xml:space="preserve"> Colaborar Comércio de Produtos Eletrônicos Ltda</t>
  </si>
  <si>
    <t>08.758.638/0001-06</t>
  </si>
  <si>
    <t>120044894115</t>
  </si>
  <si>
    <t>evaldo.monteiro@colaborar.com.br</t>
  </si>
  <si>
    <t>Evaldo Monteiro</t>
  </si>
  <si>
    <t>(11) 95726-7252</t>
  </si>
  <si>
    <t>1550</t>
  </si>
  <si>
    <t>SALA 1615 16 ANDAR</t>
  </si>
  <si>
    <t>VILA SÃO FRANCISCO</t>
  </si>
  <si>
    <t>AV DOUTOR CHUCRI ZAIDAN, 1550 - CEP: 04.711-130 - SALA 1615 16 ANDAR , VILA SÃO FRANCISCO, SÃO PAULO/SP</t>
  </si>
  <si>
    <t xml:space="preserve"> FLEXTEC PECAS E EQUIPAMENTOS DE INFORMATICA LTDA. </t>
  </si>
  <si>
    <t>04.436.785/0001-09</t>
  </si>
  <si>
    <t>149.243.706.111</t>
  </si>
  <si>
    <t xml:space="preserve">ribamar@fxtec.com.br
</t>
  </si>
  <si>
    <t xml:space="preserve">Jose Ribamar de Sousa 
</t>
  </si>
  <si>
    <t xml:space="preserve">11 5041-2770 </t>
  </si>
  <si>
    <t>11  96921-9559</t>
  </si>
  <si>
    <t>RUA VIERA DE MORAES</t>
  </si>
  <si>
    <t xml:space="preserve">1111 </t>
  </si>
  <si>
    <t>CJ 1203</t>
  </si>
  <si>
    <t>CAMPO BELO</t>
  </si>
  <si>
    <t xml:space="preserve">04617-014 </t>
  </si>
  <si>
    <t>RUA VIERA DE MORAES, 1111  - CEP: 04617-014  - CJ 1203 , CAMPO BELO, SÃO PAULO/SP</t>
  </si>
  <si>
    <t>LINE CONFERENCE LTDA</t>
  </si>
  <si>
    <t xml:space="preserve"> 35.956.461/0001-17</t>
  </si>
  <si>
    <t>797.559.900.118</t>
  </si>
  <si>
    <t xml:space="preserve">(16) 3234-3937
</t>
  </si>
  <si>
    <t>R MANOEL FERNANDES</t>
  </si>
  <si>
    <t>228</t>
  </si>
  <si>
    <t>JARDIM ZARA</t>
  </si>
  <si>
    <t>RIBEIRÃO PRETO</t>
  </si>
  <si>
    <t xml:space="preserve">SP </t>
  </si>
  <si>
    <t>14092-320</t>
  </si>
  <si>
    <t xml:space="preserve">R MANOEL FERNANDES, 228 - CEP: 14092-320 -  , JARDIM ZARA, RIBEIRÃO PRETO/SP </t>
  </si>
  <si>
    <t>Modernline Comércio de Móveis LTDA</t>
  </si>
  <si>
    <t>10.446.053/0001-94</t>
  </si>
  <si>
    <t>148.372.567-116</t>
  </si>
  <si>
    <t>casadosuporte@casadosuporte.com.br</t>
  </si>
  <si>
    <t>Casa do Suporte</t>
  </si>
  <si>
    <t>(11) 2548-6174</t>
  </si>
  <si>
    <t xml:space="preserve"> Av. Henry Ford</t>
  </si>
  <si>
    <t>825</t>
  </si>
  <si>
    <t>03109-000</t>
  </si>
  <si>
    <t xml:space="preserve"> Av. Henry Ford, 825 - CEP: 03109-000 -  , SÃO PAULO, SÃO PAULO/SP </t>
  </si>
  <si>
    <t xml:space="preserve">	131035873112</t>
  </si>
  <si>
    <t>vendas@pcinetwork.com.br</t>
  </si>
  <si>
    <t>1133621415</t>
  </si>
  <si>
    <t>R GAL OSORIO</t>
  </si>
  <si>
    <t>ALAMEDA RIO NEGRO</t>
  </si>
  <si>
    <t xml:space="preserve">R GAL OSORIO, 322 - CEP: 01213000 -  , ALAMEDA RIO NEGRO, SÃO PAULO/SP </t>
  </si>
  <si>
    <t>TEK ATACADO D DE S E EIRELI - ME</t>
  </si>
  <si>
    <t>27316854000138</t>
  </si>
  <si>
    <t>10.688.179-5</t>
  </si>
  <si>
    <t>vendassp04@ogrupotek.com.br</t>
  </si>
  <si>
    <t>José Henrique Suarez</t>
  </si>
  <si>
    <t>11992730369</t>
  </si>
  <si>
    <t>RUA TC JOAO AIRES</t>
  </si>
  <si>
    <t>175</t>
  </si>
  <si>
    <t>SETOR CENTRAL</t>
  </si>
  <si>
    <t>ANAPOLIS</t>
  </si>
  <si>
    <t>75020310</t>
  </si>
  <si>
    <t>RUA TC JOAO AIRES, 175 - CEP: 75020310 -  , SETOR CENTRAL, ANAPOLIS/GO</t>
  </si>
  <si>
    <t>TEQNIO TECNOLOGIA E SERVICOS - LTDA</t>
  </si>
  <si>
    <t>24.455.530/0002-73</t>
  </si>
  <si>
    <t>206.789.498.110</t>
  </si>
  <si>
    <t>rodrigo@gantech.com.br</t>
  </si>
  <si>
    <t xml:space="preserve">Rodrigo Henrique </t>
  </si>
  <si>
    <t>(11) 96452-0082</t>
  </si>
  <si>
    <t>503</t>
  </si>
  <si>
    <t>SALA 2209-A</t>
  </si>
  <si>
    <t>ALPHAVILLE CENTRO INDUSTRIAL E EMPRESARIAL</t>
  </si>
  <si>
    <t>06.454-000</t>
  </si>
  <si>
    <t xml:space="preserve">ALAMEDA RIO NEGRO, 503 - CEP: 06.454-000 - SALA 2209-A , ALPHAVILLE CENTRO INDUSTRIAL E EMPRESARIAL, BARUERI/SP </t>
  </si>
  <si>
    <t xml:space="preserve">VELANS TELEINFORMATICA LTDA/SP </t>
  </si>
  <si>
    <t>11.406.274/0001-00</t>
  </si>
  <si>
    <t>206.378.949.111</t>
  </si>
  <si>
    <t xml:space="preserve">marcelo.franco@velans.com.br </t>
  </si>
  <si>
    <t>Marcelo Franco</t>
  </si>
  <si>
    <t>11 3874-7160</t>
  </si>
  <si>
    <t>Av. Piraíba</t>
  </si>
  <si>
    <t>352</t>
  </si>
  <si>
    <t>Sala Velans</t>
  </si>
  <si>
    <t xml:space="preserve"> Centro Comercial Jubran</t>
  </si>
  <si>
    <t>06460-121</t>
  </si>
  <si>
    <t xml:space="preserve">Av. Piraíba, 352 - CEP: 06460-121 - Sala Velans ,  Centro Comercial Jubran, BARUERI/SP </t>
  </si>
  <si>
    <t>IFONTECH COMERCIO ELETRONICO LTDA</t>
  </si>
  <si>
    <t>20.834.014/0001-18</t>
  </si>
  <si>
    <t xml:space="preserve">	417620153114</t>
  </si>
  <si>
    <t>contato@ifontech.com.br</t>
  </si>
  <si>
    <t>IFONTECH</t>
  </si>
  <si>
    <t>1930903093</t>
  </si>
  <si>
    <t>Via Guilherme Dibbern</t>
  </si>
  <si>
    <t>3003</t>
  </si>
  <si>
    <t>SALA 16</t>
  </si>
  <si>
    <t>GRAMINHA</t>
  </si>
  <si>
    <t>LIMEIRA</t>
  </si>
  <si>
    <t>13482893</t>
  </si>
  <si>
    <t xml:space="preserve">Via Guilherme Dibbern, 3003 - CEP: 13482893 - SALA 16 , GRAMINHA, LIMEIRA/SP </t>
  </si>
  <si>
    <t>VELANS TELEINFORMATICA LTDA/ES</t>
  </si>
  <si>
    <t>11.406.274/0003-63</t>
  </si>
  <si>
    <t>083.369.33-3</t>
  </si>
  <si>
    <t>Rua Samuel Meira Brasil</t>
  </si>
  <si>
    <t>Conj. C3 parte, B1 a B6 parte, B7 parte a B11</t>
  </si>
  <si>
    <t>Ecopark Serra</t>
  </si>
  <si>
    <t>Taquara II,</t>
  </si>
  <si>
    <t>29167-650</t>
  </si>
  <si>
    <t>Rua Samuel Meira Brasil, 394 - CEP: 29167-650 - Conj. C3 parte, B1 a B6 parte, B7 parte a B11 , Ecopark Serra, Taquara II,/ES</t>
  </si>
  <si>
    <t>Colaborar Comércio de Produtos Eletrônicos Ltda</t>
  </si>
  <si>
    <t>129.399.310.111</t>
  </si>
  <si>
    <t>CONJ 801</t>
  </si>
  <si>
    <t>VILA SAO FRANCISCO (ZONA SUL</t>
  </si>
  <si>
    <t xml:space="preserve">AV DOUTOR CHUCRI ZAIDAN, 1550 - CEP: 04.711-130 - CONJ 801 , VILA SAO FRANCISCO (ZONA SUL, SÃO PAULO/SP </t>
  </si>
  <si>
    <t>Ativa 1 Telecom Ltda - EPP</t>
  </si>
  <si>
    <t xml:space="preserve">Edilene Martins </t>
  </si>
  <si>
    <t>(11) 5585-7771/7772</t>
  </si>
  <si>
    <t>Av. Fagundes Filho</t>
  </si>
  <si>
    <t xml:space="preserve">cj.91 </t>
  </si>
  <si>
    <t>04304-000</t>
  </si>
  <si>
    <t xml:space="preserve">Av. Fagundes Filho, 486 - CEP: 04304-000 - cj.91  , VILA MONTE ALEGRE, São Paulo/SP </t>
  </si>
  <si>
    <t>SOLUTION SHOP PRODUTOS DE TECNOLOGIA LTDA</t>
  </si>
  <si>
    <t>08.404.193/0002-39</t>
  </si>
  <si>
    <t xml:space="preserve">	83562176</t>
  </si>
  <si>
    <t>thales.rossi@ifontech.com.br</t>
  </si>
  <si>
    <t>Thales Rossi</t>
  </si>
  <si>
    <t>3979</t>
  </si>
  <si>
    <t>PLANALTO DE CARAPINA</t>
  </si>
  <si>
    <t>29162703</t>
  </si>
  <si>
    <t>RODOVIA GOVERNADOR MARIO COVAS,  - CEP: 29162703 - 3979 , PLANALTO DE CARAPINA, SERRA/ES</t>
  </si>
  <si>
    <t>JYN TECHNOLOGY SERVICOS E T.I LTDA</t>
  </si>
  <si>
    <t>17.240.690.0001-59</t>
  </si>
  <si>
    <t>financeiro@jyn.com.br</t>
  </si>
  <si>
    <t>(9)8323-0001</t>
  </si>
  <si>
    <t>RUA I</t>
  </si>
  <si>
    <t>0</t>
  </si>
  <si>
    <t>QUADRA 25;LOTE 21</t>
  </si>
  <si>
    <t>ITAPOA</t>
  </si>
  <si>
    <t>APARECIDA DE GOIANIA</t>
  </si>
  <si>
    <t>74.940-490</t>
  </si>
  <si>
    <t>RUA I, 0 - CEP: 74.940-490 - QUADRA 25;LOTE 21 , ITAPOA, APARECIDA DE GOIANIA/GO</t>
  </si>
  <si>
    <t>Flextec - Peças e Equipamentos de Informática Ltda</t>
  </si>
  <si>
    <t>ribamar@fxtec.com.br</t>
  </si>
  <si>
    <t>Jose Ribamar de Sousa</t>
  </si>
  <si>
    <t>(11) 96921-9559</t>
  </si>
  <si>
    <t>(11) 5096-7218</t>
  </si>
  <si>
    <t>1111</t>
  </si>
  <si>
    <t>04617-014</t>
  </si>
  <si>
    <t xml:space="preserve">RUA VIERA DE MORAES, 1111 - CEP: 04617-014 - CJ 1203 , CAMPO BELO, SÃO PAULO/SP </t>
  </si>
  <si>
    <t>UP 2 TECH DO BRASIL EIRELI</t>
  </si>
  <si>
    <t>20.704.757/0001-73</t>
  </si>
  <si>
    <t>financeiro@up2tech.com.b</t>
  </si>
  <si>
    <t>JEFFERSON MELCHIOR</t>
  </si>
  <si>
    <t xml:space="preserve"> (19) 9811-06977 </t>
  </si>
  <si>
    <t>RUA CACIMBA DE AREIA</t>
  </si>
  <si>
    <t xml:space="preserve">65 </t>
  </si>
  <si>
    <t xml:space="preserve">PARQUE SAO MIGUEL </t>
  </si>
  <si>
    <t xml:space="preserve">GUARULHOS </t>
  </si>
  <si>
    <t>07.260-170</t>
  </si>
  <si>
    <t xml:space="preserve">RUA CACIMBA DE AREIA, 65  - CEP: 07.260-170 -  , PARQUE SAO MIGUEL , GUARULHOS /SP </t>
  </si>
  <si>
    <t>ODERCO DISTRIBUIDORA DE ELETRONICOS LTDA - 91</t>
  </si>
  <si>
    <t>09.301.845/0001-91</t>
  </si>
  <si>
    <t>luis.cavalcanti@oderco.com.br</t>
  </si>
  <si>
    <t>Luis Filipe Cavalcanti</t>
  </si>
  <si>
    <t>44 2101-1482</t>
  </si>
  <si>
    <t>AV PARANAVAI</t>
  </si>
  <si>
    <t>1906</t>
  </si>
  <si>
    <t xml:space="preserve">PARQUE INDUSTRIAL BANDEIRANTES
</t>
  </si>
  <si>
    <t>MARINGA</t>
  </si>
  <si>
    <t>87.070-130</t>
  </si>
  <si>
    <t xml:space="preserve">AV PARANAVAI, 1906 - CEP: 87.070-130 -  , PARQUE INDUSTRIAL BANDEIRANTES
, MARINGA/PR</t>
  </si>
  <si>
    <t>TEK ATACADO DISTRIBUIDOR DE SEGURANÇA</t>
  </si>
  <si>
    <t>27316854000308</t>
  </si>
  <si>
    <t>0793473200109</t>
  </si>
  <si>
    <t>QNJ 40 LOTE 07</t>
  </si>
  <si>
    <t>SN</t>
  </si>
  <si>
    <t>SEM COMPLEMENTO</t>
  </si>
  <si>
    <t>TAGUATINGA NORTE</t>
  </si>
  <si>
    <t>72140-400</t>
  </si>
  <si>
    <t>QNJ 40 LOTE 07, SN - CEP: 72140-400 - SEM COMPLEMENTO , TAGUATINGA NORTE, BRASILIA/DF</t>
  </si>
  <si>
    <t>ODERCO DISTRIBUIDORA DE ELETRONICOS LTDA - 34</t>
  </si>
  <si>
    <t>09.301.845/0004-34</t>
  </si>
  <si>
    <t xml:space="preserve">082.922.18-7
</t>
  </si>
  <si>
    <t>882</t>
  </si>
  <si>
    <t>SALA 7 - PREDIO ADMINISTRATIVO</t>
  </si>
  <si>
    <t>PADRE MATHIAS</t>
  </si>
  <si>
    <t>CARIACICA</t>
  </si>
  <si>
    <t>29157100</t>
  </si>
  <si>
    <t>RODOVIA GOVERNADOR MARIO COVAS, 882 - CEP: 29157100 - SALA 7 - PREDIO ADMINISTRATIVO , PADRE MATHIAS, CARIACICA/ES</t>
  </si>
  <si>
    <t>EBAZAR.COM.BR. LTDA</t>
  </si>
  <si>
    <t>03.007.331/0001-41</t>
  </si>
  <si>
    <t>AV DAS NACOES UNIDAS 3000</t>
  </si>
  <si>
    <t>PARTE A</t>
  </si>
  <si>
    <t>BONFIM</t>
  </si>
  <si>
    <t>OSASCO</t>
  </si>
  <si>
    <t>06.233-903</t>
  </si>
  <si>
    <t>AV DAS NACOES UNIDAS 3000, 3003 - CEP: 06.233-903 - PARTE A , BONFIM, OSASCO/SP</t>
  </si>
  <si>
    <t>R C NORTH COMERCIO DE EQUIPAMENTOS ELETRONICOS LTDA</t>
  </si>
  <si>
    <t>38.151.495/0001-22</t>
  </si>
  <si>
    <t>53599878611-6</t>
  </si>
  <si>
    <t xml:space="preserve">   rafaelferraro@lhdtelecom.com.br</t>
  </si>
  <si>
    <t>R JOSE PINTO DE ALMEIDA</t>
  </si>
  <si>
    <t>887</t>
  </si>
  <si>
    <t>APT 101</t>
  </si>
  <si>
    <t>CIDADE ALTA</t>
  </si>
  <si>
    <t>PIRACICABA</t>
  </si>
  <si>
    <t>13.419-000</t>
  </si>
  <si>
    <t xml:space="preserve">R JOSE PINTO DE ALMEIDA, 887 - CEP: 13.419-000 - APT 101 , CIDADE ALTA, PIRACICABA/SP </t>
  </si>
  <si>
    <t>PEÇAS DATA CENTER BRASIL LTDA.</t>
  </si>
  <si>
    <t>32.272.667/0001-30</t>
  </si>
  <si>
    <t xml:space="preserve">123.370.250.118 </t>
  </si>
  <si>
    <t>fabricio@gpcit.com.br</t>
  </si>
  <si>
    <t>FABRICIO LEAL</t>
  </si>
  <si>
    <t>Av. São Miguel</t>
  </si>
  <si>
    <t>2073</t>
  </si>
  <si>
    <t>PENHA</t>
  </si>
  <si>
    <t xml:space="preserve"> 03619-100</t>
  </si>
  <si>
    <t xml:space="preserve">Av. São Miguel, 2073 - CEP:  03619-100 -  , PENHA, SÃO PAULO/SP </t>
  </si>
  <si>
    <t>General IT Comércio em Telecomunicações LTDA</t>
  </si>
  <si>
    <t>37.030.050/0001-21</t>
  </si>
  <si>
    <t>133430149111</t>
  </si>
  <si>
    <t>bruno.ressel@generalit.com.br</t>
  </si>
  <si>
    <t>BRUNO RESSEL</t>
  </si>
  <si>
    <t>(11) 3109-5321</t>
  </si>
  <si>
    <t>Rua da Paz,  – CJ106</t>
  </si>
  <si>
    <t>1601</t>
  </si>
  <si>
    <t>Chác. Sto. Antonio</t>
  </si>
  <si>
    <t>04713-002</t>
  </si>
  <si>
    <t xml:space="preserve">Rua da Paz,  – CJ106, 1601 - CEP: 04713-002 - N/A , Chác. Sto. Antonio, SÃO PAULO/SP </t>
  </si>
  <si>
    <t>GPC FLASH TECNOLOGIA LTDA</t>
  </si>
  <si>
    <t>32.613.629/0001-01</t>
  </si>
  <si>
    <t>123953501119</t>
  </si>
  <si>
    <t>AV SAO MIGUEL</t>
  </si>
  <si>
    <t>1956</t>
  </si>
  <si>
    <t>APT 102;BLOCO B</t>
  </si>
  <si>
    <t>VILA MARIETA</t>
  </si>
  <si>
    <t>03.619-100</t>
  </si>
  <si>
    <t xml:space="preserve">AV SAO MIGUEL, 1956 - CEP: 03.619-100 - APT 102;BLOCO B , VILA MARIETA, SAO PAULO/SP </t>
  </si>
  <si>
    <t>DYNAMOVA TECNOLOGIA, SOLUCOES E COMERCIO LTDA</t>
  </si>
  <si>
    <t>36.418.323/0001-47</t>
  </si>
  <si>
    <t xml:space="preserve">	127934111110</t>
  </si>
  <si>
    <t>FINANCEIRO@DYNAMOVATI.COM.BR</t>
  </si>
  <si>
    <t>RONE SANTANA</t>
  </si>
  <si>
    <t>55 11 5026-6547</t>
  </si>
  <si>
    <t>55 11 94077-4028</t>
  </si>
  <si>
    <t>AV SALGADO FILHO</t>
  </si>
  <si>
    <t>2120</t>
  </si>
  <si>
    <t>SALA 2301C</t>
  </si>
  <si>
    <t>CENTRO</t>
  </si>
  <si>
    <t>GUARULHOS</t>
  </si>
  <si>
    <t>07.115-000</t>
  </si>
  <si>
    <t xml:space="preserve">AV SALGADO FILHO, 2120 - CEP: 07.115-000 - SALA 2301C , CENTRO, GUARULHOS/SP </t>
  </si>
  <si>
    <t>GIGA TELECOM COMERCIO E MANUTENCAO EM TELEFONIA LTDA</t>
  </si>
  <si>
    <t>05.927.524/0001-46</t>
  </si>
  <si>
    <t>10729090043</t>
  </si>
  <si>
    <t>hudson@gigatelecom.com.br</t>
  </si>
  <si>
    <t>Hudson</t>
  </si>
  <si>
    <t>(31) 98689-3540</t>
  </si>
  <si>
    <t>(31) 3411-1919</t>
  </si>
  <si>
    <t>R MACHADO NUNES</t>
  </si>
  <si>
    <t>116</t>
  </si>
  <si>
    <t>SALA 301 B</t>
  </si>
  <si>
    <t>ALTO CAICARAS</t>
  </si>
  <si>
    <t>BELO HORIZONTE</t>
  </si>
  <si>
    <t>30.775-530</t>
  </si>
  <si>
    <t>R MACHADO NUNES, 116 - CEP: 30.775-530 - SALA 301 B , ALTO CAICARAS, BELO HORIZONTE/MG</t>
  </si>
  <si>
    <t>DISTCOM BRASIL S.A.</t>
  </si>
  <si>
    <t>50.946.384/0002-99</t>
  </si>
  <si>
    <t>84184876</t>
  </si>
  <si>
    <t>cristiana.bagano@distcom.com.br</t>
  </si>
  <si>
    <t xml:space="preserve">Cristiana Bagano </t>
  </si>
  <si>
    <t>11 3328-3947</t>
  </si>
  <si>
    <t>ROD GOVERNADOR MARIO COVAS</t>
  </si>
  <si>
    <t>KM 279</t>
  </si>
  <si>
    <t>SALA 06</t>
  </si>
  <si>
    <t>JACUHY</t>
  </si>
  <si>
    <t>29.161-230</t>
  </si>
  <si>
    <t>ROD GOVERNADOR MARIO COVAS, KM 279 - CEP: 29.161-230 - SALA 06 , JACUHY, SERRA/ES</t>
  </si>
  <si>
    <t>TEK ATACADO DISTRIBUIDOR DE SEGURANCA ELETRONICA LTDA</t>
  </si>
  <si>
    <t>27.316.854/0004-80</t>
  </si>
  <si>
    <t>83926909</t>
  </si>
  <si>
    <t xml:space="preserve">José Henrique Suarez </t>
  </si>
  <si>
    <t>11 99273-0369</t>
  </si>
  <si>
    <t>ROD GOVERNADOR MARIO COVAS, 1941</t>
  </si>
  <si>
    <t>KM 281 SALA 37 GALPAO001 MODULOS 10 A 14</t>
  </si>
  <si>
    <t xml:space="preserve">ES </t>
  </si>
  <si>
    <t>29.158-900</t>
  </si>
  <si>
    <t>ROD GOVERNADOR MARIO COVAS, 1941 SN KM 281 SALA 37 GALPAO001 MODULOS 10 A 14 PADRE MATHIAS CARIACICA ES 29.158-900</t>
  </si>
  <si>
    <t>GPC IT BRASIL INFORMATICA LTDA</t>
  </si>
  <si>
    <t>30.351.089/0001-00</t>
  </si>
  <si>
    <t>119390960118</t>
  </si>
  <si>
    <t>fabricio@gpcit.vom.br</t>
  </si>
  <si>
    <t xml:space="preserve">Fabricio Leal </t>
  </si>
  <si>
    <t>(11) 97885-4552</t>
  </si>
  <si>
    <t>(11) 2640-9724</t>
  </si>
  <si>
    <t>AV S MIGUEL 2097</t>
  </si>
  <si>
    <t>2097</t>
  </si>
  <si>
    <t>SLJ 2103</t>
  </si>
  <si>
    <t>AV S MIGUEL 2097 SLJ 2103 VILA MARIETA SAO PAULO SP 03.619-100</t>
  </si>
  <si>
    <t>ORACLE DO BRASIL SISTEMAS LTDA</t>
  </si>
  <si>
    <t>59.456.277/0001-76</t>
  </si>
  <si>
    <t>114067308110</t>
  </si>
  <si>
    <t>eduardo.porto@oracle.com</t>
  </si>
  <si>
    <t>Eduardo Porto</t>
  </si>
  <si>
    <t xml:space="preserve">61 99966-3855 </t>
  </si>
  <si>
    <t>Av. João Pedro Cardoso</t>
  </si>
  <si>
    <t>455</t>
  </si>
  <si>
    <t>ANEXO MORUMBI BUSINESS CEN</t>
  </si>
  <si>
    <t>SANTO AMARO</t>
  </si>
  <si>
    <t>04.710-090</t>
  </si>
  <si>
    <t>R DR JOSE AUREO BUSTAMANTE 455 ANEXO MORUMBI BUSINESS CEN SANTO AMARO SAO PAULO SP 04.710-090</t>
  </si>
  <si>
    <t>11 992730369</t>
  </si>
  <si>
    <t xml:space="preserve">ROD Governador Mario Covas </t>
  </si>
  <si>
    <t>1941</t>
  </si>
  <si>
    <t>KM 281 - GALPÃO 001 MODULOS 10 A 14</t>
  </si>
  <si>
    <t xml:space="preserve">PADRE ATHIAS </t>
  </si>
  <si>
    <t xml:space="preserve">CARIACICA </t>
  </si>
  <si>
    <t>29158-900</t>
  </si>
  <si>
    <t>ROD GOVERNADOR MARIO COVAS 1941, KM 281 SALA 37 GALPÃO 0001 MOULOS 10 A 14 - PADRE MATHIAS - CARIACICA- ES  - 29158900</t>
  </si>
  <si>
    <t xml:space="preserve">TOSHIBA GLOBAL COMERCIO DE SOLUCOES PARA VAREJO </t>
  </si>
  <si>
    <t>15.372.542/0001-62</t>
  </si>
  <si>
    <t>206535886111</t>
  </si>
  <si>
    <t xml:space="preserve">
Fabiano.gil@toshibagcs.com</t>
  </si>
  <si>
    <t xml:space="preserve">11 971697160 </t>
  </si>
  <si>
    <t>AL RIO NEGRO</t>
  </si>
  <si>
    <t>500</t>
  </si>
  <si>
    <t>CONJ 815 ANDAR 8 TORRE A EDIF WEST TOWERS</t>
  </si>
  <si>
    <t>ALPHAVILLE CENTRO INDUSTRIAL E EMPRESARIAL/ALPHAVI</t>
  </si>
  <si>
    <t>AL RIO NEGRO,500,CONJ 815 ANDAR 8 TORRE A EDIF WEST TOWERS,ALPHAVILLE CENTRO INDUSTRIAL E EMPRESARIAL/ALPHAVI,BARUERI,06.454-000</t>
  </si>
  <si>
    <t>AGIS EQUIPAMENTOS E SERVICOS DE INFORMATICA LTDA.</t>
  </si>
  <si>
    <t>68.993.641/0001-28</t>
  </si>
  <si>
    <t>68.993.641/0001-29</t>
  </si>
  <si>
    <t>lucas.marsulo@agis.com.br</t>
  </si>
  <si>
    <t>LUCAS MARSULO</t>
  </si>
  <si>
    <t>(19) 3759 4592</t>
  </si>
  <si>
    <t>R DONA CATHARINA MARIA DE JESUS 418</t>
  </si>
  <si>
    <t>418</t>
  </si>
  <si>
    <t>BLOCO MOD 01 AO 06 BTG LOGSALA 37</t>
  </si>
  <si>
    <t>BOM SUCESSO</t>
  </si>
  <si>
    <t>07175-500</t>
  </si>
  <si>
    <t>R DONA CATHARINA MARIA DE JESUS,418,BLOCO MOD 01 AO 06 BTG LOGSALA 37,07.175-500,BONSUCESSO,GUARULHOS,SP</t>
  </si>
  <si>
    <t xml:space="preserve">teste 2 </t>
  </si>
  <si>
    <t>R DONA CATHARINA MARIA DE JESUS 419</t>
  </si>
  <si>
    <t>419</t>
  </si>
  <si>
    <t>BLOCO MOD 01 AO 06 BTG LOGSALA 38</t>
  </si>
  <si>
    <t>07175-501</t>
  </si>
  <si>
    <t>EMPRESA SERVER ON TECNOLOGIA E SERVICOS LTDA</t>
  </si>
  <si>
    <t>35.249.492/0001-38</t>
  </si>
  <si>
    <t>136895462117</t>
  </si>
  <si>
    <t>michel.pereira@server-on.com.br</t>
  </si>
  <si>
    <t>Michael Pereira</t>
  </si>
  <si>
    <t>(11) 4395 - 8045</t>
  </si>
  <si>
    <t>(11) 94533 - 5740</t>
  </si>
  <si>
    <t>RUA DR ALTAIR MARTINS</t>
  </si>
  <si>
    <t>48</t>
  </si>
  <si>
    <t>SALAO02</t>
  </si>
  <si>
    <t xml:space="preserve">JARDIM MARIA AUGUSTA </t>
  </si>
  <si>
    <t>05.546-150</t>
  </si>
  <si>
    <t>R DR ALTAIR MARTINS, 48, JARDIM MARIA AUGUSTA, SAO PAULO, 05.546-149</t>
  </si>
  <si>
    <t>INFORMATICA MAIS TECNOLOGIA LTDA</t>
  </si>
  <si>
    <t>29.807.795/0001-26</t>
  </si>
  <si>
    <t>133197630115</t>
  </si>
  <si>
    <t>R DR ALTAIR MARTINS</t>
  </si>
  <si>
    <t>JARDIM MARIA AUGUSTA</t>
  </si>
  <si>
    <t>R DR ALTAIR MARTINS, 48, JARDIM MARIA AUGUSTA, SAO PAULO, 05.546-150</t>
  </si>
  <si>
    <t>CENTRAL NETWORK COMERCIAL - EIRELI</t>
  </si>
  <si>
    <t>07.284.035/0001-49</t>
  </si>
  <si>
    <t>117.008.038.117</t>
  </si>
  <si>
    <t>leonardo@centralcabos.com.br</t>
  </si>
  <si>
    <t xml:space="preserve">Leonardo Antônio </t>
  </si>
  <si>
    <t>(11) 3334-3710</t>
  </si>
  <si>
    <t xml:space="preserve">(11) 3334-3713 </t>
  </si>
  <si>
    <t>Rua Aurora</t>
  </si>
  <si>
    <t>Santa Efigênia - São Paulo / SP</t>
  </si>
  <si>
    <t>Santa Efigênia</t>
  </si>
  <si>
    <t>01209-000</t>
  </si>
  <si>
    <t>Rua Aurora 48 01209-000 Santa Efigênia - São Paulo / SP</t>
  </si>
  <si>
    <t>NEXUS LOGISTICA E TRANSPORTES LTDA</t>
  </si>
  <si>
    <t>08.205.713/0001-01</t>
  </si>
  <si>
    <t>149.372.677.115</t>
  </si>
  <si>
    <t>RUA DOUTOR EDGARD THEOTONIO SANTANA</t>
  </si>
  <si>
    <t>158</t>
  </si>
  <si>
    <t>PQ INDL THOMAS EDSON</t>
  </si>
  <si>
    <t>PARQUE INDUSTRIAL TOMAS EDSON</t>
  </si>
  <si>
    <t>01.140-030</t>
  </si>
  <si>
    <t>RUA DOUTOR EDGARD THEOTONIO SANTANA, 158 - CEP: 01.140-030 - PQ INDL THOMAS EDSON , PARQUE INDUSTRIAL TOMAS EDSON, SAO PAULO/SP</t>
  </si>
  <si>
    <t>J.B.M COMERCIO DE ELETRONICOS LTDA</t>
  </si>
  <si>
    <t>56.948.744/0001-97</t>
  </si>
  <si>
    <t>150575736114</t>
  </si>
  <si>
    <t>mailto:abetez@universal.org</t>
  </si>
  <si>
    <t>AV PAULISTA</t>
  </si>
  <si>
    <t>1471</t>
  </si>
  <si>
    <t>CONJ 1110 CXPST 1528</t>
  </si>
  <si>
    <t>BELA VISTA</t>
  </si>
  <si>
    <t>01.311-927</t>
  </si>
  <si>
    <t>AV PAULISTA, 1471 - CEP: 01.311-927 - CONJ 1110 CXPST 1528 , BELA VISTA, SÃO PAULO/SP</t>
  </si>
  <si>
    <t>SOB SCHURTER + OKW DO BRASIL COMPONENTES ELETRONICOS LTDA.</t>
  </si>
  <si>
    <t>080752900001-44</t>
  </si>
  <si>
    <t>149314506113</t>
  </si>
  <si>
    <t xml:space="preserve">RUA BARAO DO TRIUNFO </t>
  </si>
  <si>
    <t>88</t>
  </si>
  <si>
    <t>SL606</t>
  </si>
  <si>
    <t>04602-000</t>
  </si>
  <si>
    <t>RUA BARAO DO TRIUNFO , 88 - CEP: 04602-000 - SL606 , SÃO PAULO, SÃO PAULO/SP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</si>
</sst>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/m/yyyy"/>
    <numFmt numFmtId="165" formatCode="&quot;R$&quot; #,##0.00"/>
    <numFmt numFmtId="166" formatCode="_-* #,##0.00_-;-* #,##0.00_-;_-* &quot;-&quot;??_-;_-@_-"/>
    <numFmt numFmtId="167" formatCode="_-&quot;R$&quot; * #,##0.00_-;-&quot;R$&quot; * #,##0.00_-;_-&quot;R$&quot; * &quot;-&quot;??_-;_-@_-"/>
  </numFmts>
  <fonts count="26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b/>
      <color theme="1"/>
      <family val="2"/>
      <sz val="11"/>
      <name val="Arial"/>
    </font>
    <font>
      <charset val="1"/>
      <color rgb="FF0033CC"/>
      <family val="2"/>
      <sz val="11"/>
      <name val="Arial"/>
    </font>
    <font>
      <color rgb="FF0033CC"/>
      <family val="2"/>
      <sz val="11"/>
      <name val="Arial"/>
    </font>
    <font>
      <charset val="1"/>
      <color theme="1"/>
      <family val="2"/>
      <sz val="11"/>
      <name val="Arial"/>
    </font>
    <font>
      <color theme="4" tint="-0.499984740745262"/>
      <family val="2"/>
      <sz val="11"/>
      <name val="Arial"/>
    </font>
    <font>
      <b/>
      <color rgb="FFFF0000"/>
      <family val="2"/>
      <sz val="11"/>
      <name val="Arial"/>
    </font>
    <font>
      <u/>
      <color theme="1"/>
      <family val="2"/>
      <sz val="11"/>
      <name val="Arial"/>
    </font>
    <font>
      <b/>
      <color theme="0"/>
      <family val="2"/>
      <sz val="11"/>
      <name val="Arial"/>
    </font>
    <font>
      <b/>
      <color rgb="FF0033CC"/>
      <family val="2"/>
      <sz val="11"/>
      <name val="Arial"/>
    </font>
    <font>
      <color rgb="FFFF0000"/>
      <family val="2"/>
      <sz val="11"/>
      <name val="Arial"/>
    </font>
    <font>
      <b/>
      <family val="2"/>
      <sz val="11"/>
      <name val="Arial"/>
    </font>
    <font>
      <color rgb="FF242424"/>
      <sz val="11"/>
      <name val="Inherit"/>
    </font>
    <font>
      <u/>
      <color theme="10"/>
      <family val="2"/>
      <scheme val="minor"/>
      <sz val="11"/>
      <name val="Calibri"/>
    </font>
    <font>
      <b/>
      <charset val="1"/>
      <color rgb="FF0033CC"/>
      <family val="2"/>
      <sz val="10"/>
      <name val="Arial"/>
    </font>
    <font>
      <b/>
      <color rgb="FFFF0000"/>
      <family val="2"/>
      <sz val="10"/>
      <name val="Arial"/>
    </font>
    <font>
      <color theme="1"/>
      <sz val="11"/>
      <name val="Inherit"/>
    </font>
    <font>
      <b/>
      <u/>
      <color rgb="FFFF0000"/>
      <family val="2"/>
      <sz val="11"/>
      <name val="Arial Narrow"/>
    </font>
    <font>
      <color rgb="FF002060"/>
      <family val="2"/>
      <sz val="14"/>
      <name val="Arial Narrow"/>
    </font>
    <font>
      <b/>
      <color rgb="FFFF0000"/>
      <family val="2"/>
      <sz val="14"/>
      <name val="Arial"/>
    </font>
    <font>
      <color rgb="FFC00000"/>
      <family val="2"/>
      <sz val="11"/>
      <name val="Arial"/>
    </font>
    <font>
      <b/>
      <color rgb="FFC00000"/>
      <family val="2"/>
      <sz val="11"/>
      <name val="Arial"/>
    </font>
    <font>
      <b/>
      <color rgb="FF002060"/>
      <family val="2"/>
      <sz val="11"/>
      <name val="Arial"/>
    </font>
    <font>
      <b/>
      <color theme="0"/>
      <family val="2"/>
      <sz val="12"/>
      <name val="Arial"/>
    </font>
    <font>
      <b/>
      <color rgb="FF0033CC"/>
      <family val="2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</fills>
  <borders count="34">
    <border>
      <left/>
      <right/>
      <top/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thick">
        <color theme="0" tint="-0.0499893185216834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 style="thick">
        <color theme="0" tint="-0.0499893185216834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0" tint="-0.0499893185216834"/>
      </bottom>
      <diagonal/>
    </border>
    <border>
      <left/>
      <right style="thin">
        <color theme="1" tint="0.499984740745262"/>
      </right>
      <top/>
      <bottom style="thin">
        <color theme="0" tint="-0.0499893185216834"/>
      </bottom>
      <diagonal/>
    </border>
    <border>
      <left style="thin">
        <color theme="1" tint="0.499984740745262"/>
      </left>
      <right/>
      <top style="thin">
        <color theme="0" tint="-0.0499893185216834"/>
      </top>
      <bottom style="thin">
        <color theme="0" tint="-0.0499893185216834"/>
      </bottom>
      <diagonal/>
    </border>
    <border>
      <left/>
      <right/>
      <top style="thin">
        <color theme="0" tint="-0.0499893185216834"/>
      </top>
      <bottom style="thin">
        <color theme="0" tint="-0.0499893185216834"/>
      </bottom>
      <diagonal/>
    </border>
    <border>
      <left style="thick">
        <color theme="0" tint="-0.0499893185216834"/>
      </left>
      <right/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1" tint="0.499984740745262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1" tint="0.499984740745262"/>
      </left>
      <right/>
      <top/>
      <bottom style="thin">
        <color theme="0" tint="-0.0499893185216834"/>
      </bottom>
      <diagonal/>
    </border>
    <border>
      <left style="thick">
        <color theme="0" tint="-0.0499893185216834"/>
      </left>
      <right/>
      <top/>
      <bottom style="thin">
        <color theme="0" tint="-0.049989318521683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0499893185216834"/>
      </top>
      <bottom/>
      <diagonal/>
    </border>
    <border>
      <left style="thin">
        <color theme="1" tint="0.499893185216834"/>
      </left>
      <right/>
      <top style="thin">
        <color theme="0" tint="-0.0499893185216834"/>
      </top>
      <bottom style="thin">
        <color theme="0" tint="-0.0499893185216834"/>
      </bottom>
      <diagonal/>
    </border>
    <border>
      <left style="thick">
        <color theme="0" tint="-0.0499893185216834"/>
      </left>
      <right/>
      <top style="thin">
        <color theme="0" tint="-0.0499893185216834"/>
      </top>
      <bottom/>
      <diagonal/>
    </border>
    <border>
      <left/>
      <right style="thin">
        <color theme="1" tint="0.499984740745262"/>
      </right>
      <top style="thin">
        <color theme="0" tint="-0.0499893185216834"/>
      </top>
      <bottom/>
      <diagonal/>
    </border>
    <border>
      <left style="thin">
        <color theme="0" tint="-0.0499893185216834"/>
      </left>
      <right/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1" tint="0.499984740745262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1" tint="0.499984740745262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1" tint="0.499984740745262"/>
      </left>
      <right style="thin">
        <color theme="0" tint="-0.0499893185216834"/>
      </right>
      <top/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1" tint="0.499984740745262"/>
      </right>
      <top/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 style="thin">
        <color theme="1" tint="0.49998474074526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1" tint="0.499984740745262"/>
      </bottom>
      <diagonal/>
    </border>
    <border>
      <left style="thin">
        <color theme="0" tint="-0.0499893185216834"/>
      </left>
      <right style="thin">
        <color theme="1" tint="0.499984740745262"/>
      </right>
      <top style="thin">
        <color theme="0" tint="-0.0499893185216834"/>
      </top>
      <bottom style="thin">
        <color theme="1" tint="0.499984740745262"/>
      </bottom>
      <diagonal/>
    </border>
    <border>
      <left style="thin">
        <color theme="0" tint="-0.3499862666707358"/>
      </left>
      <right/>
      <top style="thin">
        <color theme="1" tint="0.499984740745262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1" tint="0.499984740745262"/>
      </top>
      <bottom style="thin">
        <color theme="0" tint="-0.3499862666707358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3" fillId="3" borderId="0" xfId="0" applyNumberFormat="1" applyFont="1" applyFill="1" applyAlignment="1" applyProtection="1">
      <alignment horizontal="left" vertical="center"/>
      <protection locked="0"/>
    </xf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0" fontId="1" fillId="2" borderId="7" xfId="0" applyFont="1" applyFill="1" applyBorder="1" applyAlignment="1">
      <alignment vertical="center"/>
    </xf>
    <xf numFmtId="164" fontId="3" fillId="3" borderId="0" xfId="0" applyNumberFormat="1" applyFont="1" applyFill="1" applyAlignment="1" applyProtection="1">
      <alignment horizontal="left" vertical="center"/>
      <protection locked="0"/>
    </xf>
    <xf numFmtId="14" fontId="4" fillId="2" borderId="0" xfId="0" applyNumberFormat="1" applyFont="1" applyFill="1" applyAlignment="1">
      <alignment horizontal="left" vertical="center" wrapText="1"/>
    </xf>
    <xf numFmtId="14" fontId="4" fillId="2" borderId="0" xfId="0" applyNumberFormat="1" applyFont="1" applyFill="1" applyAlignment="1">
      <alignment horizontal="left" vertical="center"/>
    </xf>
    <xf numFmtId="0" fontId="2" fillId="2" borderId="5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3" fillId="3" borderId="0" xfId="0" applyNumberFormat="1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3" fillId="3" borderId="0" xfId="0" applyFont="1" applyFill="1" applyAlignment="1" applyProtection="1">
      <alignment horizontal="left" vertical="center"/>
      <protection locked="0"/>
    </xf>
    <xf numFmtId="0" fontId="7" fillId="4" borderId="5" xfId="0" applyFont="1" applyFill="1" applyBorder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1" fillId="2" borderId="6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9" fillId="5" borderId="10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9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10" fillId="2" borderId="14" xfId="0" applyFont="1" applyFill="1" applyBorder="1" applyAlignment="1" applyProtection="1">
      <alignment vertical="center"/>
      <protection locked="0"/>
    </xf>
    <xf numFmtId="0" fontId="1" fillId="2" borderId="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vertical="center" wrapText="1"/>
    </xf>
    <xf numFmtId="0" fontId="4" fillId="2" borderId="11" xfId="0" applyFont="1" applyFill="1" applyBorder="1" applyAlignment="1">
      <alignment horizontal="left" vertical="center"/>
    </xf>
    <xf numFmtId="0" fontId="10" fillId="2" borderId="15" xfId="0" applyFont="1" applyFill="1" applyBorder="1" applyAlignment="1" applyProtection="1">
      <alignment horizontal="left" vertical="center"/>
      <protection locked="0"/>
    </xf>
    <xf numFmtId="0" fontId="1" fillId="2" borderId="8" xfId="0" applyFont="1" applyFill="1" applyBorder="1" applyAlignment="1">
      <alignment vertical="center" wrapText="1"/>
    </xf>
    <xf numFmtId="0" fontId="2" fillId="2" borderId="11" xfId="0" applyFont="1" applyFill="1" applyBorder="1" applyAlignment="1">
      <alignment vertical="center"/>
    </xf>
    <xf numFmtId="0" fontId="2" fillId="0" borderId="16" xfId="0" applyFont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49" fontId="10" fillId="2" borderId="15" xfId="0" applyNumberFormat="1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left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 wrapText="1"/>
    </xf>
    <xf numFmtId="0" fontId="1" fillId="2" borderId="13" xfId="0" applyFont="1" applyFill="1" applyBorder="1" applyAlignment="1">
      <alignment vertical="center"/>
    </xf>
    <xf numFmtId="0" fontId="12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 applyProtection="1">
      <alignment horizontal="left" vertical="center"/>
      <protection locked="0"/>
    </xf>
    <xf numFmtId="0" fontId="2" fillId="2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vertical="center" wrapText="1"/>
    </xf>
    <xf numFmtId="0" fontId="10" fillId="2" borderId="11" xfId="0" applyFont="1" applyFill="1" applyBorder="1" applyAlignment="1">
      <alignment horizontal="left" vertical="center"/>
    </xf>
    <xf numFmtId="0" fontId="13" fillId="0" borderId="16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4" fillId="2" borderId="17" xfId="0" applyFont="1" applyFill="1" applyBorder="1" applyAlignment="1">
      <alignment horizontal="center" vertical="center"/>
    </xf>
    <xf numFmtId="0" fontId="14" fillId="2" borderId="11" xfId="0" applyFont="1" applyFill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5" fillId="3" borderId="18" xfId="0" applyFont="1" applyFill="1" applyBorder="1" applyAlignment="1" applyProtection="1">
      <alignment horizontal="left" vertical="center"/>
      <protection locked="0"/>
    </xf>
    <xf numFmtId="0" fontId="16" fillId="2" borderId="19" xfId="0" applyFont="1" applyFill="1" applyBorder="1" applyAlignment="1" applyProtection="1">
      <alignment horizontal="left" vertical="top" wrapText="1"/>
      <protection locked="0"/>
    </xf>
    <xf numFmtId="0" fontId="16" fillId="2" borderId="17" xfId="0" applyFont="1" applyFill="1" applyBorder="1" applyAlignment="1" applyProtection="1">
      <alignment horizontal="left" vertical="top"/>
      <protection locked="0"/>
    </xf>
    <xf numFmtId="0" fontId="16" fillId="2" borderId="20" xfId="0" applyFont="1" applyFill="1" applyBorder="1" applyAlignment="1" applyProtection="1">
      <alignment horizontal="left" vertical="top"/>
      <protection locked="0"/>
    </xf>
    <xf numFmtId="0" fontId="3" fillId="3" borderId="11" xfId="0" applyFont="1" applyFill="1" applyBorder="1" applyAlignment="1">
      <alignment horizontal="left" vertical="center"/>
    </xf>
    <xf numFmtId="0" fontId="16" fillId="2" borderId="6" xfId="0" applyFont="1" applyFill="1" applyBorder="1" applyAlignment="1" applyProtection="1">
      <alignment horizontal="left" vertical="top"/>
      <protection locked="0"/>
    </xf>
    <xf numFmtId="0" fontId="16" fillId="2" borderId="0" xfId="0" applyFont="1" applyFill="1" applyAlignment="1" applyProtection="1">
      <alignment horizontal="left" vertical="top"/>
      <protection locked="0"/>
    </xf>
    <xf numFmtId="0" fontId="16" fillId="2" borderId="7" xfId="0" applyFont="1" applyFill="1" applyBorder="1" applyAlignment="1" applyProtection="1">
      <alignment horizontal="left" vertical="top"/>
      <protection locked="0"/>
    </xf>
    <xf numFmtId="0" fontId="3" fillId="3" borderId="11" xfId="0" applyFont="1" applyFill="1" applyBorder="1" applyAlignment="1" applyProtection="1">
      <alignment horizontal="left" vertical="center"/>
      <protection locked="0"/>
    </xf>
    <xf numFmtId="1" fontId="3" fillId="3" borderId="11" xfId="0" applyNumberFormat="1" applyFont="1" applyFill="1" applyBorder="1" applyAlignment="1" applyProtection="1">
      <alignment horizontal="left" vertical="center"/>
      <protection locked="0"/>
    </xf>
    <xf numFmtId="1" fontId="10" fillId="3" borderId="11" xfId="0" applyNumberFormat="1" applyFont="1" applyFill="1" applyBorder="1" applyAlignment="1" applyProtection="1">
      <alignment horizontal="left" vertical="center"/>
      <protection locked="0"/>
    </xf>
    <xf numFmtId="0" fontId="17" fillId="0" borderId="16" xfId="0" applyFont="1" applyBorder="1" applyAlignment="1">
      <alignment horizontal="center"/>
    </xf>
    <xf numFmtId="0" fontId="16" fillId="2" borderId="15" xfId="0" applyFont="1" applyFill="1" applyBorder="1" applyAlignment="1" applyProtection="1">
      <alignment horizontal="left" vertical="top"/>
      <protection locked="0"/>
    </xf>
    <xf numFmtId="0" fontId="16" fillId="2" borderId="8" xfId="0" applyFont="1" applyFill="1" applyBorder="1" applyAlignment="1" applyProtection="1">
      <alignment horizontal="left" vertical="top"/>
      <protection locked="0"/>
    </xf>
    <xf numFmtId="0" fontId="16" fillId="2" borderId="9" xfId="0" applyFont="1" applyFill="1" applyBorder="1" applyAlignment="1" applyProtection="1">
      <alignment horizontal="left" vertical="top"/>
      <protection locked="0"/>
    </xf>
    <xf numFmtId="0" fontId="18" fillId="3" borderId="11" xfId="0" applyFont="1" applyFill="1" applyBorder="1" applyAlignment="1">
      <alignment horizontal="left" vertical="center"/>
    </xf>
    <xf numFmtId="0" fontId="14" fillId="3" borderId="11" xfId="0" applyFont="1" applyFill="1" applyBorder="1" applyAlignment="1" applyProtection="1">
      <alignment horizontal="left" vertical="center"/>
      <protection locked="0"/>
    </xf>
    <xf numFmtId="0" fontId="19" fillId="2" borderId="19" xfId="0" applyFont="1" applyFill="1" applyBorder="1" applyAlignment="1" applyProtection="1">
      <alignment horizontal="left" vertical="top" wrapText="1"/>
      <protection locked="0"/>
    </xf>
    <xf numFmtId="0" fontId="20" fillId="2" borderId="17" xfId="0" applyFont="1" applyFill="1" applyBorder="1" applyAlignment="1" applyProtection="1">
      <alignment horizontal="left" vertical="top"/>
      <protection locked="0"/>
    </xf>
    <xf numFmtId="0" fontId="20" fillId="2" borderId="20" xfId="0" applyFont="1" applyFill="1" applyBorder="1" applyAlignment="1" applyProtection="1">
      <alignment horizontal="left" vertical="top"/>
      <protection locked="0"/>
    </xf>
    <xf numFmtId="0" fontId="20" fillId="2" borderId="6" xfId="0" applyFont="1" applyFill="1" applyBorder="1" applyAlignment="1" applyProtection="1">
      <alignment horizontal="left" vertical="top"/>
      <protection locked="0"/>
    </xf>
    <xf numFmtId="0" fontId="20" fillId="2" borderId="0" xfId="0" applyFont="1" applyFill="1" applyAlignment="1" applyProtection="1">
      <alignment horizontal="left" vertical="top"/>
      <protection locked="0"/>
    </xf>
    <xf numFmtId="0" fontId="20" fillId="2" borderId="7" xfId="0" applyFont="1" applyFill="1" applyBorder="1" applyAlignment="1" applyProtection="1">
      <alignment horizontal="left" vertical="top"/>
      <protection locked="0"/>
    </xf>
    <xf numFmtId="0" fontId="2" fillId="2" borderId="10" xfId="0" applyFont="1" applyFill="1" applyBorder="1" applyAlignment="1">
      <alignment vertical="center"/>
    </xf>
    <xf numFmtId="0" fontId="20" fillId="2" borderId="15" xfId="0" applyFont="1" applyFill="1" applyBorder="1" applyAlignment="1" applyProtection="1">
      <alignment horizontal="left" vertical="top"/>
      <protection locked="0"/>
    </xf>
    <xf numFmtId="0" fontId="20" fillId="2" borderId="8" xfId="0" applyFont="1" applyFill="1" applyBorder="1" applyAlignment="1" applyProtection="1">
      <alignment horizontal="left" vertical="top"/>
      <protection locked="0"/>
    </xf>
    <xf numFmtId="0" fontId="20" fillId="2" borderId="9" xfId="0" applyFont="1" applyFill="1" applyBorder="1" applyAlignment="1" applyProtection="1">
      <alignment horizontal="left" vertical="top"/>
      <protection locked="0"/>
    </xf>
    <xf numFmtId="0" fontId="1" fillId="7" borderId="5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/>
    </xf>
    <xf numFmtId="0" fontId="21" fillId="7" borderId="0" xfId="0" applyFont="1" applyFill="1" applyAlignment="1">
      <alignment vertical="center"/>
    </xf>
    <xf numFmtId="0" fontId="22" fillId="7" borderId="0" xfId="0" applyFont="1" applyFill="1" applyAlignment="1">
      <alignment horizontal="lef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vertical="center" wrapText="1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wrapText="1" shrinkToFit="1"/>
    </xf>
    <xf numFmtId="0" fontId="9" fillId="5" borderId="2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 vertical="center"/>
      <protection locked="0"/>
    </xf>
    <xf numFmtId="165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4" xfId="0" applyFont="1" applyFill="1" applyBorder="1" applyAlignment="1" applyProtection="1">
      <alignment horizontal="center" vertical="center"/>
      <protection locked="0"/>
    </xf>
    <xf numFmtId="166" fontId="1" fillId="0" borderId="0" xfId="0" applyNumberFormat="1" applyFont="1" applyAlignment="1" applyProtection="1">
      <alignment vertical="center"/>
      <protection locked="0"/>
    </xf>
    <xf numFmtId="165" fontId="1" fillId="2" borderId="27" xfId="0" applyNumberFormat="1" applyFont="1" applyFill="1" applyBorder="1" applyAlignment="1" applyProtection="1">
      <alignment horizontal="center" vertical="center"/>
      <protection locked="0"/>
    </xf>
    <xf numFmtId="165" fontId="1" fillId="2" borderId="28" xfId="0" applyNumberFormat="1" applyFont="1" applyFill="1" applyBorder="1" applyAlignment="1" applyProtection="1">
      <alignment vertical="center"/>
      <protection locked="0"/>
    </xf>
    <xf numFmtId="165" fontId="1" fillId="2" borderId="24" xfId="0" applyNumberFormat="1" applyFont="1" applyFill="1" applyBorder="1" applyAlignment="1" applyProtection="1">
      <alignment horizontal="center" vertical="center"/>
      <protection locked="0"/>
    </xf>
    <xf numFmtId="165" fontId="1" fillId="2" borderId="25" xfId="0" applyNumberFormat="1" applyFont="1" applyFill="1" applyBorder="1" applyAlignment="1" applyProtection="1">
      <alignment vertical="center"/>
      <protection locked="0"/>
    </xf>
    <xf numFmtId="0" fontId="1" fillId="2" borderId="29" xfId="0" applyFont="1" applyFill="1" applyBorder="1" applyAlignment="1" applyProtection="1">
      <alignment horizontal="center" vertical="center"/>
      <protection locked="0"/>
    </xf>
    <xf numFmtId="0" fontId="1" fillId="2" borderId="30" xfId="0" applyFont="1" applyFill="1" applyBorder="1" applyAlignment="1" applyProtection="1">
      <alignment horizontal="center" vertical="center"/>
      <protection locked="0"/>
    </xf>
    <xf numFmtId="165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9" xfId="0" applyNumberFormat="1" applyFont="1" applyFill="1" applyBorder="1" applyAlignment="1" applyProtection="1">
      <alignment horizontal="center" vertical="center"/>
      <protection locked="0"/>
    </xf>
    <xf numFmtId="165" fontId="1" fillId="2" borderId="30" xfId="0" applyNumberFormat="1" applyFont="1" applyFill="1" applyBorder="1" applyAlignment="1" applyProtection="1">
      <alignment horizontal="center" vertical="center"/>
      <protection locked="0"/>
    </xf>
    <xf numFmtId="165" fontId="1" fillId="2" borderId="31" xfId="0" applyNumberFormat="1" applyFont="1" applyFill="1" applyBorder="1" applyAlignment="1" applyProtection="1">
      <alignment vertical="center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7" fontId="23" fillId="8" borderId="32" xfId="0" applyNumberFormat="1" applyFont="1" applyFill="1" applyBorder="1" applyAlignment="1" applyProtection="1">
      <alignment horizontal="center" vertical="center"/>
      <protection locked="0"/>
    </xf>
    <xf numFmtId="167" fontId="23" fillId="8" borderId="33" xfId="0" applyNumberFormat="1" applyFont="1" applyFill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0" fontId="24" fillId="9" borderId="15" xfId="0" applyFont="1" applyFill="1" applyBorder="1" applyAlignment="1">
      <alignment horizontal="center" vertical="center"/>
    </xf>
    <xf numFmtId="0" fontId="25" fillId="2" borderId="1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20.xml"/><Relationship Id="rId7" Type="http://schemas.openxmlformats.org/officeDocument/2006/relationships/worksheet" Target="worksheets/sheet1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1038224</xdr:colOff>
      <xdr:row>0</xdr:row>
      <xdr:rowOff>0</xdr:rowOff>
    </xdr:from>
    <xdr:to>
      <xdr:col>4</xdr:col>
      <xdr:colOff>1476375</xdr:colOff>
      <xdr:row>4</xdr:row>
      <xdr:rowOff>19050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Fornecedores" displayName="Fornecedores" ref="A1:O89" totalsRowShown="1" headerRowCount="0">
  <autoFilter ref="A1:O8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mailto:rafaelferraro@lhdtelecom.com.br" TargetMode="External"/><Relationship Id="rId2" Type="http://schemas.openxmlformats.org/officeDocument/2006/relationships/hyperlink" Target="mailto:Elizabeth.SILVA@sephora.com" TargetMode="External"/><Relationship Id="rId3" Type="http://schemas.openxmlformats.org/officeDocument/2006/relationships/comments" Target="../comments4.xml"/><Relationship Id="rId4" Type="http://schemas.openxmlformats.org/officeDocument/2006/relationships/vmlDrawing" Target="../drawings/vmlDrawing4.vml"/><Relationship Id="rId5" Type="http://schemas.openxmlformats.org/officeDocument/2006/relationships/drawing" Target="../drawings/drawing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AJ1000"/>
  <sheetViews>
    <sheetView workbookViewId="0" showGridLines="0" zoomScale="100" zoomScaleNormal="100">
      <selection activeCell="E26" sqref="E26"/>
    </sheetView>
  </sheetViews>
  <sheetFormatPr defaultRowHeight="14.25" outlineLevelRow="0" outlineLevelCol="0" x14ac:dyDescent="0" defaultColWidth="9.140625" customHeight="1"/>
  <cols>
    <col min="1" max="1" width="21.42578125" style="1" customWidth="1"/>
    <col min="2" max="2" width="26" style="1" customWidth="1"/>
    <col min="3" max="3" width="16" style="2" customWidth="1"/>
    <col min="4" max="4" width="16" style="1" customWidth="1"/>
    <col min="5" max="5" width="34.28515625" style="1" customWidth="1"/>
    <col min="6" max="6" width="15" style="3" customWidth="1"/>
    <col min="7" max="7" width="26.7109375" style="1" customWidth="1"/>
    <col min="8" max="8" width="14.5703125" style="1" customWidth="1"/>
    <col min="9" max="9" width="37.42578125" style="1" customWidth="1"/>
    <col min="10" max="10" width="16.85546875" style="2" customWidth="1"/>
    <col min="11" max="11" width="12.28515625" style="1" customWidth="1"/>
    <col min="12" max="12" width="15.28515625" style="3" customWidth="1"/>
    <col min="13" max="15" width="15.28515625" style="1" customWidth="1"/>
    <col min="16" max="16" width="25.140625" style="4" hidden="1" customWidth="1"/>
    <col min="17" max="18" width="24" style="4" hidden="1" customWidth="1"/>
    <col min="19" max="20" width="9.140625" style="4" customWidth="1"/>
    <col min="21" max="21" width="71.85546875" style="4" hidden="1" customWidth="1"/>
    <col min="22" max="22" width="19.140625" style="4" hidden="1" customWidth="1"/>
    <col min="23" max="23" width="15.5703125" style="4" hidden="1" customWidth="1"/>
    <col min="24" max="24" width="27" style="4" hidden="1" customWidth="1"/>
    <col min="25" max="25" width="18.28515625" style="4" hidden="1" customWidth="1"/>
    <col min="26" max="27" width="20.5703125" style="4" hidden="1" customWidth="1"/>
    <col min="28" max="28" width="20.7109375" style="4" hidden="1" customWidth="1"/>
    <col min="29" max="29" width="18.28515625" style="4" hidden="1" customWidth="1"/>
    <col min="30" max="30" width="25" style="4" hidden="1" customWidth="1"/>
    <col min="31" max="31" width="29.5703125" style="4" hidden="1" customWidth="1"/>
    <col min="32" max="32" width="18.42578125" style="4" hidden="1" customWidth="1"/>
    <col min="33" max="33" width="18.5703125" style="4" hidden="1" customWidth="1"/>
    <col min="34" max="34" width="23" style="4" hidden="1" customWidth="1"/>
    <col min="35" max="35" width="16.140625" style="4" hidden="1" customWidth="1"/>
    <col min="36" max="36" width="18.42578125" style="5" hidden="1" customWidth="1"/>
    <col min="37" max="16384" width="9.140625" style="4" customWidth="1"/>
  </cols>
  <sheetData>
    <row r="1" ht="14.25" customHeight="1" spans="1:36" s="1" customFormat="1" x14ac:dyDescent="0.25">
      <c r="A1" s="6"/>
      <c r="B1" s="7"/>
      <c r="C1" s="8"/>
      <c r="D1" s="7"/>
      <c r="E1" s="7"/>
      <c r="F1" s="9"/>
      <c r="G1" s="9"/>
      <c r="H1" s="10"/>
      <c r="I1" s="7"/>
      <c r="J1" s="7"/>
      <c r="K1" s="9"/>
      <c r="L1" s="7"/>
      <c r="M1" s="7"/>
      <c r="N1" s="7"/>
      <c r="O1" s="11"/>
      <c r="AJ1" s="2"/>
    </row>
    <row r="2" ht="15.75" customHeight="1" spans="1:36" s="1" customFormat="1" x14ac:dyDescent="0.25">
      <c r="A2" s="12"/>
      <c r="B2" s="13"/>
      <c r="C2" s="14"/>
      <c r="D2" s="13"/>
      <c r="E2" s="13"/>
      <c r="F2" s="15"/>
      <c r="G2" s="15"/>
      <c r="H2" s="16" t="s">
        <v>0</v>
      </c>
      <c r="I2" s="17"/>
      <c r="J2" s="18" t="s">
        <v>1</v>
      </c>
      <c r="K2" s="19"/>
      <c r="L2" s="20"/>
      <c r="M2" s="13"/>
      <c r="N2" s="13"/>
      <c r="O2" s="21"/>
      <c r="AJ2" s="2"/>
    </row>
    <row r="3" ht="15.75" customHeight="1" spans="1:36" s="1" customFormat="1" x14ac:dyDescent="0.25">
      <c r="A3" s="12"/>
      <c r="B3" s="13"/>
      <c r="C3" s="14"/>
      <c r="D3" s="13"/>
      <c r="E3" s="13"/>
      <c r="F3" s="15"/>
      <c r="G3" s="15"/>
      <c r="H3" s="16" t="s">
        <v>2</v>
      </c>
      <c r="I3" s="17"/>
      <c r="J3" s="22">
        <v>46232</v>
      </c>
      <c r="K3" s="23"/>
      <c r="L3" s="24"/>
      <c r="M3" s="13"/>
      <c r="N3" s="13"/>
      <c r="O3" s="21"/>
      <c r="AJ3" s="2"/>
    </row>
    <row r="4" ht="15.75" customHeight="1" spans="1:36" s="1" customFormat="1" x14ac:dyDescent="0.25">
      <c r="A4" s="25"/>
      <c r="B4" s="13"/>
      <c r="C4" s="14"/>
      <c r="D4" s="13"/>
      <c r="E4" s="13"/>
      <c r="F4" s="15"/>
      <c r="G4" s="15"/>
      <c r="H4" s="16" t="s">
        <v>3</v>
      </c>
      <c r="I4" s="17"/>
      <c r="J4" s="22">
        <v>46239</v>
      </c>
      <c r="K4" s="26"/>
      <c r="L4" s="17" t="s">
        <v>4</v>
      </c>
      <c r="M4" s="17"/>
      <c r="N4" s="22">
        <v>46252</v>
      </c>
      <c r="O4" s="21"/>
      <c r="AJ4" s="2"/>
    </row>
    <row r="5" ht="14.25" customHeight="1" spans="1:36" s="1" customFormat="1" x14ac:dyDescent="0.25">
      <c r="A5" s="12"/>
      <c r="B5" s="13"/>
      <c r="C5" s="14"/>
      <c r="D5" s="13"/>
      <c r="E5" s="13"/>
      <c r="F5" s="15" t="s">
        <v>5</v>
      </c>
      <c r="G5" s="15"/>
      <c r="H5" s="16"/>
      <c r="I5" s="27"/>
      <c r="J5" s="28"/>
      <c r="K5" s="23"/>
      <c r="L5" s="23"/>
      <c r="M5" s="20"/>
      <c r="N5" s="29"/>
      <c r="O5" s="21"/>
      <c r="AJ5" s="2"/>
    </row>
    <row r="6" ht="14.25" customHeight="1" spans="1:36" s="1" customFormat="1" x14ac:dyDescent="0.25">
      <c r="A6" s="12"/>
      <c r="B6" s="30"/>
      <c r="C6" s="14"/>
      <c r="D6" s="13"/>
      <c r="E6" s="13"/>
      <c r="F6" s="15"/>
      <c r="G6" s="15"/>
      <c r="H6" s="16" t="s">
        <v>6</v>
      </c>
      <c r="I6" s="17"/>
      <c r="J6" s="31" t="s">
        <v>7</v>
      </c>
      <c r="K6" s="26"/>
      <c r="L6" s="17" t="s">
        <v>8</v>
      </c>
      <c r="M6" s="17"/>
      <c r="N6" s="31" t="s">
        <v>9</v>
      </c>
      <c r="O6" s="21"/>
      <c r="AJ6" s="2"/>
    </row>
    <row r="7" ht="14.25" customHeight="1" spans="1:36" s="1" customFormat="1" x14ac:dyDescent="0.25">
      <c r="A7" s="32" t="s">
        <v>10</v>
      </c>
      <c r="B7" s="13"/>
      <c r="C7" s="33"/>
      <c r="D7" s="13"/>
      <c r="E7" s="13"/>
      <c r="F7" s="15"/>
      <c r="G7" s="15"/>
      <c r="H7" s="34"/>
      <c r="I7" s="13"/>
      <c r="J7" s="13"/>
      <c r="K7" s="15"/>
      <c r="L7" s="13"/>
      <c r="M7" s="13"/>
      <c r="N7" s="35"/>
      <c r="O7" s="36"/>
      <c r="AJ7" s="2"/>
    </row>
    <row r="8" ht="20.25" customHeight="1" spans="1:36" s="1" customFormat="1" x14ac:dyDescent="0.25">
      <c r="A8" s="37" t="s">
        <v>11</v>
      </c>
      <c r="B8" s="38"/>
      <c r="C8" s="38"/>
      <c r="D8" s="38"/>
      <c r="E8" s="38"/>
      <c r="F8" s="38"/>
      <c r="G8" s="38"/>
      <c r="H8" s="39" t="s">
        <v>12</v>
      </c>
      <c r="I8" s="38"/>
      <c r="J8" s="38"/>
      <c r="K8" s="38"/>
      <c r="L8" s="38"/>
      <c r="M8" s="38"/>
      <c r="N8" s="38"/>
      <c r="O8" s="40"/>
      <c r="P8" s="41"/>
      <c r="U8" s="42" t="s">
        <v>13</v>
      </c>
      <c r="V8" s="42" t="s">
        <v>14</v>
      </c>
      <c r="W8" s="42" t="s">
        <v>15</v>
      </c>
      <c r="X8" s="42" t="s">
        <v>16</v>
      </c>
      <c r="Y8" s="42" t="s">
        <v>17</v>
      </c>
      <c r="Z8" s="42" t="s">
        <v>18</v>
      </c>
      <c r="AA8" s="42" t="s">
        <v>19</v>
      </c>
      <c r="AB8" s="42" t="s">
        <v>20</v>
      </c>
      <c r="AC8" s="42" t="s">
        <v>21</v>
      </c>
      <c r="AD8" s="42" t="s">
        <v>22</v>
      </c>
      <c r="AE8" s="42" t="s">
        <v>23</v>
      </c>
      <c r="AF8" s="42" t="s">
        <v>24</v>
      </c>
      <c r="AG8" s="42" t="s">
        <v>25</v>
      </c>
      <c r="AH8" s="42" t="s">
        <v>26</v>
      </c>
      <c r="AI8" s="42" t="s">
        <v>27</v>
      </c>
      <c r="AJ8" s="43" t="s">
        <v>28</v>
      </c>
    </row>
    <row r="9" ht="15.75" customHeight="1" spans="1:36" s="1" customFormat="1" x14ac:dyDescent="0.25">
      <c r="A9" s="44" t="s">
        <v>29</v>
      </c>
      <c r="B9" s="35"/>
      <c r="C9" s="45"/>
      <c r="D9" s="35"/>
      <c r="E9" s="35"/>
      <c r="F9" s="46" t="s">
        <v>30</v>
      </c>
      <c r="G9" s="47" t="str">
        <f>VLOOKUP($A$9,Fornecedores_Pasta,2,0)</f>
        <v>14.619.477/0001-64</v>
      </c>
      <c r="H9" s="48" t="s">
        <v>31</v>
      </c>
      <c r="I9" s="35"/>
      <c r="J9" s="45"/>
      <c r="K9" s="35"/>
      <c r="L9" s="49"/>
      <c r="M9" s="50" t="s">
        <v>30</v>
      </c>
      <c r="N9" s="47" t="str">
        <f>VLOOKUP($H$9,INTERATELL,2,0)</f>
        <v>03.969.530/0002-11</v>
      </c>
      <c r="O9" s="36"/>
      <c r="P9" s="41"/>
      <c r="Q9" s="51" t="s">
        <v>32</v>
      </c>
      <c r="R9" s="51"/>
      <c r="U9" s="52" t="s">
        <v>33</v>
      </c>
      <c r="V9" s="52" t="s">
        <v>34</v>
      </c>
      <c r="W9" s="53" t="s">
        <v>35</v>
      </c>
      <c r="X9" s="52" t="s">
        <v>36</v>
      </c>
      <c r="Y9" s="52" t="s">
        <v>37</v>
      </c>
      <c r="Z9" s="52" t="s">
        <v>38</v>
      </c>
      <c r="AA9" s="52" t="s">
        <v>38</v>
      </c>
      <c r="AB9" s="52" t="s">
        <v>39</v>
      </c>
      <c r="AC9" s="52">
        <v>190</v>
      </c>
      <c r="AD9" s="52" t="s">
        <v>40</v>
      </c>
      <c r="AE9" s="52" t="s">
        <v>41</v>
      </c>
      <c r="AF9" s="52" t="s">
        <v>42</v>
      </c>
      <c r="AG9" s="52" t="s">
        <v>43</v>
      </c>
      <c r="AH9" s="52" t="s">
        <v>44</v>
      </c>
      <c r="AI9" s="52" t="s">
        <v>45</v>
      </c>
      <c r="AJ9" s="54" t="str">
        <f>VLOOKUP($H$9,INTERATELL,14,0)</f>
        <v>SERRA </v>
      </c>
    </row>
    <row r="10" ht="15.75" customHeight="1" spans="1:36" s="1" customFormat="1" x14ac:dyDescent="0.25">
      <c r="A10" s="55" t="s">
        <v>46</v>
      </c>
      <c r="B10" s="47" t="str">
        <f>VLOOKUP($A$9,Fornecedores_Pasta,14,0)</f>
        <v>02452-001</v>
      </c>
      <c r="C10" s="56"/>
      <c r="D10" s="57"/>
      <c r="E10" s="57"/>
      <c r="F10" s="58" t="s">
        <v>47</v>
      </c>
      <c r="G10" s="47" t="str">
        <f>VLOOKUP($A$9,Fornecedores_Pasta,3,0)</f>
        <v>146720201116</v>
      </c>
      <c r="H10" s="59" t="s">
        <v>46</v>
      </c>
      <c r="I10" s="47" t="str">
        <f>VLOOKUP($H$9,INTERATELL,15,0)</f>
        <v>29.175-706</v>
      </c>
      <c r="J10" s="60"/>
      <c r="K10" s="61"/>
      <c r="L10" s="62"/>
      <c r="M10" s="50" t="s">
        <v>47</v>
      </c>
      <c r="N10" s="47" t="str">
        <f>VLOOKUP($H$9,INTERATELL,3,0)</f>
        <v>084.000.44-9</v>
      </c>
      <c r="O10" s="63"/>
      <c r="P10" s="41"/>
      <c r="Q10" s="51" t="s">
        <v>48</v>
      </c>
      <c r="R10" s="51" t="s">
        <v>49</v>
      </c>
      <c r="U10" s="52" t="s">
        <v>31</v>
      </c>
      <c r="V10" s="52" t="s">
        <v>50</v>
      </c>
      <c r="W10" s="53" t="s">
        <v>51</v>
      </c>
      <c r="X10" s="52" t="s">
        <v>36</v>
      </c>
      <c r="Y10" s="52" t="s">
        <v>37</v>
      </c>
      <c r="Z10" s="52" t="s">
        <v>38</v>
      </c>
      <c r="AA10" s="52" t="s">
        <v>38</v>
      </c>
      <c r="AB10" s="52" t="s">
        <v>52</v>
      </c>
      <c r="AC10" s="52">
        <v>307</v>
      </c>
      <c r="AD10" s="52" t="s">
        <v>53</v>
      </c>
      <c r="AE10" s="52" t="s">
        <v>54</v>
      </c>
      <c r="AF10" s="52" t="s">
        <v>55</v>
      </c>
      <c r="AG10" s="52" t="s">
        <v>56</v>
      </c>
      <c r="AH10" s="52" t="s">
        <v>57</v>
      </c>
      <c r="AI10" s="52" t="s">
        <v>58</v>
      </c>
      <c r="AJ10" s="2"/>
    </row>
    <row r="11" ht="15.75" customHeight="1" spans="1:36" s="1" customFormat="1" x14ac:dyDescent="0.25">
      <c r="A11" s="55" t="s">
        <v>59</v>
      </c>
      <c r="B11" s="47" t="str">
        <f>VLOOKUP($A$9,Fornecedores_Pasta,12,0)</f>
        <v>SÃO PAULO</v>
      </c>
      <c r="C11" s="64" t="s">
        <v>60</v>
      </c>
      <c r="D11" s="47" t="str">
        <f>VLOOKUP($A$9,Fornecedores_Pasta,13,0)</f>
        <v>SP</v>
      </c>
      <c r="E11" s="57"/>
      <c r="F11" s="46" t="s">
        <v>61</v>
      </c>
      <c r="G11" s="65" t="s">
        <v>62</v>
      </c>
      <c r="H11" s="59" t="s">
        <v>59</v>
      </c>
      <c r="I11" s="47" t="str">
        <f>VLOOKUP($H$9,INTERATELL,12,0)</f>
        <v>Serra ES</v>
      </c>
      <c r="J11" s="66" t="s">
        <v>60</v>
      </c>
      <c r="K11" s="47" t="str">
        <f>VLOOKUP($H$9,INTERATELL,13,0)</f>
        <v>ES</v>
      </c>
      <c r="L11" s="67"/>
      <c r="M11" s="50" t="s">
        <v>61</v>
      </c>
      <c r="N11" s="68" t="str">
        <f>VLOOKUP($H$9,INTERATELL,5,0)</f>
        <v>Gabriella Amaro</v>
      </c>
      <c r="O11" s="63"/>
      <c r="P11" s="41"/>
      <c r="Q11" s="69" t="s">
        <v>63</v>
      </c>
      <c r="R11" s="69" t="s">
        <v>63</v>
      </c>
      <c r="AJ11" s="2"/>
    </row>
    <row r="12" ht="15.75" customHeight="1" spans="1:36" s="1" customFormat="1" x14ac:dyDescent="0.25">
      <c r="A12" s="55" t="s">
        <v>64</v>
      </c>
      <c r="B12" s="47" t="str">
        <f>VLOOKUP($A$9,Fornecedores_Pasta,11,0)</f>
        <v>VILA ESTER (ZONA NORTE)</v>
      </c>
      <c r="C12" s="56"/>
      <c r="D12" s="47"/>
      <c r="E12" s="57"/>
      <c r="F12" s="46" t="s">
        <v>65</v>
      </c>
      <c r="G12" s="65" t="s">
        <v>66</v>
      </c>
      <c r="H12" s="59" t="s">
        <v>64</v>
      </c>
      <c r="I12" s="47" t="str">
        <f>VLOOKUP($H$9,INTERATELL,11,0)</f>
        <v>Nova Zelândia</v>
      </c>
      <c r="J12" s="60"/>
      <c r="K12" s="61"/>
      <c r="L12" s="62"/>
      <c r="M12" s="50" t="s">
        <v>65</v>
      </c>
      <c r="N12" s="68" t="str">
        <f>VLOOKUP($H$9,INTERATELL,6,0)</f>
        <v>(11) 3303-3324</v>
      </c>
      <c r="O12" s="63"/>
      <c r="P12" s="41"/>
      <c r="Q12" s="69" t="s">
        <v>67</v>
      </c>
      <c r="R12" s="69" t="s">
        <v>68</v>
      </c>
      <c r="AJ12" s="2"/>
    </row>
    <row r="13" ht="15.75" customHeight="1" spans="1:36" s="1" customFormat="1" x14ac:dyDescent="0.25">
      <c r="A13" s="55" t="s">
        <v>69</v>
      </c>
      <c r="B13" s="47" t="str">
        <f>VLOOKUP($A$9,Fornecedores_Pasta,8,0)</f>
        <v>RUA MARIA CURUPAITI</v>
      </c>
      <c r="C13" s="66" t="s">
        <v>70</v>
      </c>
      <c r="D13" s="47" t="str">
        <f>VLOOKUP($A$9,Fornecedores_Pasta,9,0)</f>
        <v>441</v>
      </c>
      <c r="E13" s="50"/>
      <c r="F13" s="46" t="s">
        <v>65</v>
      </c>
      <c r="G13" s="65" t="s">
        <v>71</v>
      </c>
      <c r="H13" s="59" t="s">
        <v>69</v>
      </c>
      <c r="I13" s="47" t="str">
        <f>VLOOKUP($H$9,INTERATELL,8,0)</f>
        <v>Rua Porto Alegre</v>
      </c>
      <c r="J13" s="66" t="s">
        <v>70</v>
      </c>
      <c r="K13" s="47">
        <f>VLOOKUP($H$9,INTERATELL,9,0)</f>
        <v>307</v>
      </c>
      <c r="L13" s="70"/>
      <c r="M13" s="50" t="s">
        <v>65</v>
      </c>
      <c r="N13" s="68" t="str">
        <f>VLOOKUP($H$9,INTERATELL,7,0)</f>
        <v>(11) 3303-3324</v>
      </c>
      <c r="O13" s="63"/>
      <c r="P13" s="41"/>
      <c r="Q13" s="69" t="s">
        <v>9</v>
      </c>
      <c r="R13" s="69" t="s">
        <v>9</v>
      </c>
      <c r="AJ13" s="2"/>
    </row>
    <row r="14" ht="15.75" customHeight="1" spans="1:36" s="1" customFormat="1" x14ac:dyDescent="0.25">
      <c r="A14" s="55" t="s">
        <v>72</v>
      </c>
      <c r="B14" s="47" t="str">
        <f>VLOOKUP($A$9,Fornecedores_Pasta,10,0)</f>
        <v>CONJ. 2007 G</v>
      </c>
      <c r="C14" s="71"/>
      <c r="D14" s="50"/>
      <c r="E14" s="47"/>
      <c r="F14" s="46" t="s">
        <v>73</v>
      </c>
      <c r="G14" s="72" t="s">
        <v>74</v>
      </c>
      <c r="H14" s="59" t="s">
        <v>72</v>
      </c>
      <c r="I14" s="47" t="str">
        <f>VLOOKUP($H$9,INTERATELL,10,0)</f>
        <v>G.02 MOD02B</v>
      </c>
      <c r="J14" s="60"/>
      <c r="K14" s="50"/>
      <c r="L14" s="70"/>
      <c r="M14" s="46" t="s">
        <v>73</v>
      </c>
      <c r="N14" s="68" t="str">
        <f>VLOOKUP($H$9,INTERATELL,4,0)</f>
        <v>financeiro@interatell.com.br</v>
      </c>
      <c r="O14" s="63"/>
      <c r="Q14" s="69" t="s">
        <v>7</v>
      </c>
      <c r="R14" s="69" t="s">
        <v>7</v>
      </c>
      <c r="AJ14" s="2"/>
    </row>
    <row r="15" ht="20.25" customHeight="1" spans="1:36" s="1" customFormat="1" x14ac:dyDescent="0.25">
      <c r="A15" s="37" t="s">
        <v>75</v>
      </c>
      <c r="B15" s="38"/>
      <c r="C15" s="38"/>
      <c r="D15" s="38"/>
      <c r="E15" s="38"/>
      <c r="F15" s="38"/>
      <c r="G15" s="38"/>
      <c r="H15" s="39" t="s">
        <v>76</v>
      </c>
      <c r="I15" s="38"/>
      <c r="J15" s="38"/>
      <c r="K15" s="38"/>
      <c r="L15" s="38"/>
      <c r="M15" s="38"/>
      <c r="N15" s="38"/>
      <c r="O15" s="40"/>
      <c r="Q15" s="73" t="s">
        <v>77</v>
      </c>
      <c r="R15" s="73" t="s">
        <v>77</v>
      </c>
      <c r="AJ15" s="2"/>
    </row>
    <row r="16" ht="15.75" customHeight="1" spans="1:36" s="1" customFormat="1" x14ac:dyDescent="0.25">
      <c r="A16" s="74" t="s">
        <v>78</v>
      </c>
      <c r="B16" s="74"/>
      <c r="C16" s="74"/>
      <c r="D16" s="74"/>
      <c r="E16" s="74"/>
      <c r="F16" s="50" t="s">
        <v>30</v>
      </c>
      <c r="G16" s="47" t="s">
        <v>79</v>
      </c>
      <c r="H16" s="75" t="s">
        <v>80</v>
      </c>
      <c r="I16" s="76"/>
      <c r="J16" s="76"/>
      <c r="K16" s="76"/>
      <c r="L16" s="76"/>
      <c r="M16" s="76"/>
      <c r="N16" s="76"/>
      <c r="O16" s="77"/>
      <c r="Q16" s="69" t="s">
        <v>81</v>
      </c>
      <c r="R16" s="69" t="s">
        <v>81</v>
      </c>
      <c r="AJ16" s="2"/>
    </row>
    <row r="17" ht="15.75" customHeight="1" spans="1:36" s="1" customFormat="1" x14ac:dyDescent="0.25">
      <c r="A17" s="55" t="s">
        <v>82</v>
      </c>
      <c r="B17" s="47" t="s">
        <v>83</v>
      </c>
      <c r="C17" s="60"/>
      <c r="D17" s="57"/>
      <c r="E17" s="61"/>
      <c r="F17" s="50" t="s">
        <v>84</v>
      </c>
      <c r="G17" s="78" t="s">
        <v>85</v>
      </c>
      <c r="H17" s="79"/>
      <c r="I17" s="80"/>
      <c r="J17" s="80"/>
      <c r="K17" s="80"/>
      <c r="L17" s="80"/>
      <c r="M17" s="80"/>
      <c r="N17" s="80"/>
      <c r="O17" s="81"/>
      <c r="Q17" s="69" t="s">
        <v>86</v>
      </c>
      <c r="R17" s="69" t="s">
        <v>86</v>
      </c>
      <c r="AJ17" s="2"/>
    </row>
    <row r="18" ht="15.75" customHeight="1" spans="1:36" s="1" customFormat="1" x14ac:dyDescent="0.25">
      <c r="A18" s="55" t="s">
        <v>59</v>
      </c>
      <c r="B18" s="78" t="s">
        <v>87</v>
      </c>
      <c r="C18" s="66" t="s">
        <v>60</v>
      </c>
      <c r="D18" s="82" t="s">
        <v>88</v>
      </c>
      <c r="E18" s="61"/>
      <c r="F18" s="50" t="s">
        <v>47</v>
      </c>
      <c r="G18" s="83">
        <v>767834700455</v>
      </c>
      <c r="H18" s="79"/>
      <c r="I18" s="80"/>
      <c r="J18" s="80"/>
      <c r="K18" s="80"/>
      <c r="L18" s="80"/>
      <c r="M18" s="80"/>
      <c r="N18" s="80"/>
      <c r="O18" s="81"/>
      <c r="Q18" s="69" t="s">
        <v>89</v>
      </c>
      <c r="R18" s="69" t="s">
        <v>89</v>
      </c>
      <c r="AJ18" s="2"/>
    </row>
    <row r="19" ht="15.75" customHeight="1" spans="1:36" s="1" customFormat="1" x14ac:dyDescent="0.25">
      <c r="A19" s="55" t="s">
        <v>64</v>
      </c>
      <c r="B19" s="78" t="s">
        <v>90</v>
      </c>
      <c r="C19" s="60"/>
      <c r="D19" s="78"/>
      <c r="E19" s="61"/>
      <c r="F19" s="50" t="s">
        <v>61</v>
      </c>
      <c r="G19" s="84" t="s">
        <v>91</v>
      </c>
      <c r="H19" s="79"/>
      <c r="I19" s="80"/>
      <c r="J19" s="80"/>
      <c r="K19" s="80"/>
      <c r="L19" s="80"/>
      <c r="M19" s="80"/>
      <c r="N19" s="80"/>
      <c r="O19" s="81"/>
      <c r="Q19" s="85" t="s">
        <v>92</v>
      </c>
      <c r="R19" s="73" t="s">
        <v>93</v>
      </c>
      <c r="AJ19" s="2"/>
    </row>
    <row r="20" ht="15.75" customHeight="1" spans="1:36" s="1" customFormat="1" x14ac:dyDescent="0.25">
      <c r="A20" s="55" t="s">
        <v>69</v>
      </c>
      <c r="B20" s="78" t="s">
        <v>94</v>
      </c>
      <c r="C20" s="66" t="s">
        <v>70</v>
      </c>
      <c r="D20" s="82" t="s">
        <v>95</v>
      </c>
      <c r="E20" s="61"/>
      <c r="F20" s="50" t="s">
        <v>65</v>
      </c>
      <c r="G20" s="84" t="s">
        <v>96</v>
      </c>
      <c r="H20" s="86"/>
      <c r="I20" s="87"/>
      <c r="J20" s="87"/>
      <c r="K20" s="87"/>
      <c r="L20" s="87"/>
      <c r="M20" s="87"/>
      <c r="N20" s="87"/>
      <c r="O20" s="88"/>
      <c r="Q20" s="69" t="s">
        <v>97</v>
      </c>
      <c r="R20" s="69" t="s">
        <v>98</v>
      </c>
      <c r="AJ20" s="2"/>
    </row>
    <row r="21" ht="20.25" customHeight="1" spans="1:36" s="1" customFormat="1" x14ac:dyDescent="0.25">
      <c r="A21" s="55" t="s">
        <v>72</v>
      </c>
      <c r="B21" s="78" t="s">
        <v>99</v>
      </c>
      <c r="C21" s="66"/>
      <c r="D21" s="47"/>
      <c r="E21" s="46"/>
      <c r="F21" s="50" t="s">
        <v>65</v>
      </c>
      <c r="G21" s="84" t="s">
        <v>96</v>
      </c>
      <c r="H21" s="39" t="s">
        <v>100</v>
      </c>
      <c r="I21" s="38"/>
      <c r="J21" s="38"/>
      <c r="K21" s="38"/>
      <c r="L21" s="38"/>
      <c r="M21" s="38"/>
      <c r="N21" s="38"/>
      <c r="O21" s="40"/>
      <c r="Q21" s="69" t="s">
        <v>101</v>
      </c>
      <c r="R21" s="69" t="s">
        <v>102</v>
      </c>
      <c r="AJ21" s="2"/>
    </row>
    <row r="22" ht="15.75" customHeight="1" spans="1:36" s="1" customFormat="1" x14ac:dyDescent="0.25">
      <c r="A22" s="55" t="s">
        <v>103</v>
      </c>
      <c r="B22" s="89" t="s">
        <v>104</v>
      </c>
      <c r="C22" s="60"/>
      <c r="D22" s="57"/>
      <c r="E22" s="61"/>
      <c r="F22" s="50" t="s">
        <v>105</v>
      </c>
      <c r="G22" s="90" t="s">
        <v>106</v>
      </c>
      <c r="H22" s="91" t="s">
        <v>107</v>
      </c>
      <c r="I22" s="92"/>
      <c r="J22" s="92"/>
      <c r="K22" s="92"/>
      <c r="L22" s="92"/>
      <c r="M22" s="92"/>
      <c r="N22" s="92"/>
      <c r="O22" s="93"/>
      <c r="Q22" s="69" t="s">
        <v>108</v>
      </c>
      <c r="R22" s="69" t="s">
        <v>109</v>
      </c>
      <c r="AJ22" s="2"/>
    </row>
    <row r="23" ht="15.75" customHeight="1" spans="1:36" s="1" customFormat="1" x14ac:dyDescent="0.25">
      <c r="A23" s="55" t="s">
        <v>110</v>
      </c>
      <c r="B23" s="82" t="s">
        <v>111</v>
      </c>
      <c r="C23" s="60"/>
      <c r="D23" s="57"/>
      <c r="E23" s="61"/>
      <c r="F23" s="62"/>
      <c r="G23" s="61"/>
      <c r="H23" s="94"/>
      <c r="I23" s="95"/>
      <c r="J23" s="95"/>
      <c r="K23" s="95"/>
      <c r="L23" s="95"/>
      <c r="M23" s="95"/>
      <c r="N23" s="95"/>
      <c r="O23" s="96"/>
      <c r="Q23" s="69" t="s">
        <v>112</v>
      </c>
      <c r="R23" s="69" t="s">
        <v>112</v>
      </c>
      <c r="AJ23" s="2"/>
    </row>
    <row r="24" ht="15.75" customHeight="1" spans="1:36" s="1" customFormat="1" x14ac:dyDescent="0.25">
      <c r="A24" s="97"/>
      <c r="B24" s="47"/>
      <c r="C24" s="66"/>
      <c r="D24" s="57"/>
      <c r="E24" s="61"/>
      <c r="F24" s="62"/>
      <c r="G24" s="61"/>
      <c r="H24" s="94"/>
      <c r="I24" s="95"/>
      <c r="J24" s="95"/>
      <c r="K24" s="95"/>
      <c r="L24" s="95"/>
      <c r="M24" s="95"/>
      <c r="N24" s="95"/>
      <c r="O24" s="96"/>
      <c r="Q24" s="69" t="s">
        <v>113</v>
      </c>
      <c r="R24" s="69" t="s">
        <v>114</v>
      </c>
      <c r="AJ24" s="2"/>
    </row>
    <row r="25" ht="15.75" customHeight="1" spans="1:36" s="1" customFormat="1" x14ac:dyDescent="0.25">
      <c r="A25" s="97"/>
      <c r="B25" s="47"/>
      <c r="C25" s="60"/>
      <c r="D25" s="61"/>
      <c r="E25" s="61"/>
      <c r="F25" s="62"/>
      <c r="G25" s="61"/>
      <c r="H25" s="94"/>
      <c r="I25" s="95"/>
      <c r="J25" s="95"/>
      <c r="K25" s="95"/>
      <c r="L25" s="95"/>
      <c r="M25" s="95"/>
      <c r="N25" s="95"/>
      <c r="O25" s="96"/>
      <c r="Q25" s="69" t="s">
        <v>115</v>
      </c>
      <c r="R25" s="69" t="s">
        <v>115</v>
      </c>
      <c r="AJ25" s="2"/>
    </row>
    <row r="26" ht="20.25" customHeight="1" spans="1:36" s="1" customFormat="1" x14ac:dyDescent="0.25">
      <c r="A26" s="97"/>
      <c r="B26" s="47"/>
      <c r="C26" s="60"/>
      <c r="D26" s="61"/>
      <c r="E26" s="61"/>
      <c r="F26" s="62"/>
      <c r="G26" s="61"/>
      <c r="H26" s="98"/>
      <c r="I26" s="99"/>
      <c r="J26" s="99"/>
      <c r="K26" s="99"/>
      <c r="L26" s="99"/>
      <c r="M26" s="99"/>
      <c r="N26" s="99"/>
      <c r="O26" s="100"/>
      <c r="P26" s="41"/>
      <c r="Q26" s="69" t="s">
        <v>116</v>
      </c>
      <c r="R26" s="69" t="s">
        <v>116</v>
      </c>
      <c r="AJ26" s="2"/>
    </row>
    <row r="27" ht="14.25" customHeight="1" spans="1:36" x14ac:dyDescent="0.25">
      <c r="A27" s="101"/>
      <c r="B27" s="102"/>
      <c r="C27" s="102"/>
      <c r="D27" s="102"/>
      <c r="E27" s="102"/>
      <c r="F27" s="103"/>
      <c r="G27" s="102"/>
      <c r="H27" s="102"/>
      <c r="I27" s="102"/>
      <c r="J27" s="102"/>
      <c r="K27" s="102"/>
      <c r="L27" s="103"/>
      <c r="M27" s="102"/>
      <c r="N27" s="102"/>
      <c r="O27" s="104"/>
      <c r="P27" s="5"/>
      <c r="Q27" s="69" t="s">
        <v>117</v>
      </c>
      <c r="R27" s="69" t="s">
        <v>117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2"/>
    </row>
    <row r="28" ht="18" customHeight="1" spans="1:36" s="1" customFormat="1" x14ac:dyDescent="0.25">
      <c r="A28" s="105"/>
      <c r="B28" s="106"/>
      <c r="C28" s="107"/>
      <c r="D28" s="108" t="s">
        <v>5</v>
      </c>
      <c r="E28" s="108"/>
      <c r="F28" s="109"/>
      <c r="G28" s="108"/>
      <c r="H28" s="108"/>
      <c r="I28" s="108"/>
      <c r="J28" s="102"/>
      <c r="K28" s="108"/>
      <c r="L28" s="110" t="s">
        <v>118</v>
      </c>
      <c r="M28" s="111"/>
      <c r="N28" s="110" t="s">
        <v>119</v>
      </c>
      <c r="O28" s="40"/>
      <c r="P28" s="41"/>
      <c r="Q28" s="69" t="s">
        <v>120</v>
      </c>
      <c r="R28" s="69" t="s">
        <v>120</v>
      </c>
      <c r="AJ28" s="2"/>
    </row>
    <row r="29" ht="30" customHeight="1" spans="1:36" s="1" customFormat="1" x14ac:dyDescent="0.25">
      <c r="A29" s="112" t="s">
        <v>121</v>
      </c>
      <c r="B29" s="113" t="s">
        <v>122</v>
      </c>
      <c r="C29" s="110" t="s">
        <v>123</v>
      </c>
      <c r="D29" s="38"/>
      <c r="E29" s="111"/>
      <c r="F29" s="114" t="s">
        <v>124</v>
      </c>
      <c r="G29" s="114" t="s">
        <v>125</v>
      </c>
      <c r="H29" s="114" t="s">
        <v>126</v>
      </c>
      <c r="I29" s="114" t="s">
        <v>127</v>
      </c>
      <c r="J29" s="114" t="s">
        <v>128</v>
      </c>
      <c r="K29" s="113" t="s">
        <v>129</v>
      </c>
      <c r="L29" s="113" t="s">
        <v>130</v>
      </c>
      <c r="M29" s="113" t="s">
        <v>131</v>
      </c>
      <c r="N29" s="113" t="s">
        <v>130</v>
      </c>
      <c r="O29" s="115" t="s">
        <v>131</v>
      </c>
      <c r="P29" s="116"/>
      <c r="Q29" s="69" t="s">
        <v>132</v>
      </c>
      <c r="R29" s="69" t="s">
        <v>132</v>
      </c>
      <c r="AJ29" s="2"/>
    </row>
    <row r="30" ht="17.25" customHeight="1" spans="1:18" x14ac:dyDescent="0.25">
      <c r="A30" s="117">
        <v>1</v>
      </c>
      <c r="B30" s="118" t="s">
        <v>133</v>
      </c>
      <c r="C30" s="119" t="s">
        <v>134</v>
      </c>
      <c r="D30" s="120"/>
      <c r="E30" s="121"/>
      <c r="F30" s="119" t="s">
        <v>56</v>
      </c>
      <c r="G30" s="119">
        <v>5104</v>
      </c>
      <c r="H30" s="119" t="s">
        <v>135</v>
      </c>
      <c r="I30" s="119" t="s">
        <v>136</v>
      </c>
      <c r="J30" s="119" t="s">
        <v>137</v>
      </c>
      <c r="K30" s="122">
        <v>5</v>
      </c>
      <c r="L30" s="123">
        <v>950</v>
      </c>
      <c r="M30" s="123">
        <f>L30*K30</f>
        <v>4750</v>
      </c>
      <c r="N30" s="123">
        <v>1870</v>
      </c>
      <c r="O30" s="123">
        <f>N30*K30</f>
        <v>9350</v>
      </c>
      <c r="P30" s="123">
        <f t="shared" ref="P30:R30" si="0">O30*L30</f>
        <v>8882500</v>
      </c>
      <c r="Q30" s="123">
        <f t="shared" si="0"/>
        <v>42191875000</v>
      </c>
      <c r="R30" s="123">
        <f t="shared" si="0"/>
        <v>78898806250000</v>
      </c>
    </row>
    <row r="31" ht="17.25" customHeight="1" spans="1:18" x14ac:dyDescent="0.25">
      <c r="A31" s="117">
        <v>2</v>
      </c>
      <c r="B31" s="122" t="s">
        <v>138</v>
      </c>
      <c r="C31" s="119" t="s">
        <v>139</v>
      </c>
      <c r="D31" s="120"/>
      <c r="E31" s="121"/>
      <c r="F31" s="119" t="s">
        <v>56</v>
      </c>
      <c r="G31" s="119">
        <v>5104</v>
      </c>
      <c r="H31" s="119" t="s">
        <v>135</v>
      </c>
      <c r="I31" s="119" t="s">
        <v>136</v>
      </c>
      <c r="J31" s="119" t="s">
        <v>137</v>
      </c>
      <c r="K31" s="124">
        <v>5</v>
      </c>
      <c r="L31" s="123">
        <v>160</v>
      </c>
      <c r="M31" s="123">
        <f>L31*K31</f>
        <v>800</v>
      </c>
      <c r="N31" s="123">
        <v>350</v>
      </c>
      <c r="O31" s="123">
        <f>N31*K31</f>
        <v>1750</v>
      </c>
      <c r="P31" s="125"/>
      <c r="Q31" s="69" t="s">
        <v>140</v>
      </c>
      <c r="R31" s="69" t="s">
        <v>141</v>
      </c>
    </row>
    <row r="32" ht="17.25" customHeight="1" spans="1:18" x14ac:dyDescent="0.25">
      <c r="A32" s="117">
        <v>3</v>
      </c>
      <c r="B32" s="122" t="s">
        <v>142</v>
      </c>
      <c r="C32" s="119">
        <f>IFERROR(VLOOKUP(B32,Produtos_Pasta,2,0), "")</f>
      </c>
      <c r="D32" s="120"/>
      <c r="E32" s="121"/>
      <c r="F32" s="119"/>
      <c r="G32" s="119">
        <f t="shared" ref="G32:G49" si="1">IFERROR(VLOOKUP(B32,Produtos_Pasta,4,0),"")</f>
      </c>
      <c r="H32" s="119">
        <f t="shared" ref="H32:H49" si="2">IFERROR(VLOOKUP(B32,Produtos_Pasta,5,0),"")</f>
      </c>
      <c r="I32" s="119">
        <f t="shared" ref="I32:I49" si="3">IFERROR(VLOOKUP(B32,Produtos_Pasta,6,0),"")</f>
      </c>
      <c r="J32" s="119">
        <f t="shared" ref="J32:J49" si="4">IFERROR(VLOOKUP(B32,Produtos_Pasta,7,0),"")</f>
      </c>
      <c r="K32" s="124"/>
      <c r="L32" s="123"/>
      <c r="M32" s="123"/>
      <c r="N32" s="123"/>
      <c r="O32" s="123"/>
      <c r="P32" s="125"/>
      <c r="Q32" s="69" t="s">
        <v>143</v>
      </c>
      <c r="R32" s="69" t="s">
        <v>143</v>
      </c>
    </row>
    <row r="33" ht="17.25" customHeight="1" spans="1:18" x14ac:dyDescent="0.25">
      <c r="A33" s="117">
        <v>4</v>
      </c>
      <c r="B33" s="122" t="s">
        <v>142</v>
      </c>
      <c r="C33" s="119">
        <f t="shared" ref="C33:C49" si="5">IFERROR(VLOOKUP(B33,Produtos_Pasta,2,0), "")</f>
      </c>
      <c r="D33" s="120"/>
      <c r="E33" s="121"/>
      <c r="F33" s="119"/>
      <c r="G33" s="119">
        <f t="shared" si="1"/>
      </c>
      <c r="H33" s="119">
        <f t="shared" si="2"/>
      </c>
      <c r="I33" s="119">
        <f t="shared" si="3"/>
      </c>
      <c r="J33" s="119">
        <f t="shared" si="4"/>
      </c>
      <c r="K33" s="124"/>
      <c r="L33" s="123"/>
      <c r="M33" s="123"/>
      <c r="N33" s="123"/>
      <c r="O33" s="123"/>
      <c r="P33" s="125"/>
      <c r="Q33" s="69" t="s">
        <v>144</v>
      </c>
      <c r="R33" s="69" t="s">
        <v>144</v>
      </c>
    </row>
    <row r="34" ht="17.25" customHeight="1" spans="1:18" x14ac:dyDescent="0.25">
      <c r="A34" s="117">
        <v>5</v>
      </c>
      <c r="B34" s="122" t="s">
        <v>142</v>
      </c>
      <c r="C34" s="119">
        <f t="shared" si="5"/>
      </c>
      <c r="D34" s="120"/>
      <c r="E34" s="121"/>
      <c r="F34" s="119"/>
      <c r="G34" s="119">
        <f t="shared" si="1"/>
      </c>
      <c r="H34" s="119">
        <f t="shared" si="2"/>
      </c>
      <c r="I34" s="119">
        <f t="shared" si="3"/>
      </c>
      <c r="J34" s="119">
        <f t="shared" si="4"/>
      </c>
      <c r="K34" s="122"/>
      <c r="L34" s="123"/>
      <c r="M34" s="126"/>
      <c r="N34" s="126"/>
      <c r="O34" s="127"/>
      <c r="P34" s="125"/>
      <c r="Q34" s="69" t="s">
        <v>145</v>
      </c>
      <c r="R34" s="69" t="s">
        <v>145</v>
      </c>
    </row>
    <row r="35" ht="17.25" customHeight="1" spans="1:18" x14ac:dyDescent="0.25">
      <c r="A35" s="117">
        <v>6</v>
      </c>
      <c r="B35" s="122" t="s">
        <v>142</v>
      </c>
      <c r="C35" s="119">
        <f t="shared" si="5"/>
      </c>
      <c r="D35" s="120"/>
      <c r="E35" s="121"/>
      <c r="F35" s="119"/>
      <c r="G35" s="119">
        <f t="shared" si="1"/>
      </c>
      <c r="H35" s="119">
        <f t="shared" si="2"/>
      </c>
      <c r="I35" s="119">
        <f t="shared" si="3"/>
      </c>
      <c r="J35" s="119">
        <f t="shared" si="4"/>
      </c>
      <c r="K35" s="122"/>
      <c r="L35" s="123"/>
      <c r="M35" s="126"/>
      <c r="N35" s="126"/>
      <c r="O35" s="127"/>
      <c r="P35" s="125"/>
      <c r="Q35" s="69" t="s">
        <v>146</v>
      </c>
      <c r="R35" s="69" t="s">
        <v>146</v>
      </c>
    </row>
    <row r="36" ht="17.25" customHeight="1" spans="1:18" x14ac:dyDescent="0.25">
      <c r="A36" s="117">
        <v>7</v>
      </c>
      <c r="B36" s="122" t="s">
        <v>142</v>
      </c>
      <c r="C36" s="119">
        <f t="shared" si="5"/>
      </c>
      <c r="D36" s="120"/>
      <c r="E36" s="121"/>
      <c r="F36" s="119"/>
      <c r="G36" s="119">
        <f t="shared" si="1"/>
      </c>
      <c r="H36" s="119">
        <f t="shared" si="2"/>
      </c>
      <c r="I36" s="119">
        <f t="shared" si="3"/>
      </c>
      <c r="J36" s="119">
        <f t="shared" si="4"/>
      </c>
      <c r="K36" s="124"/>
      <c r="L36" s="123"/>
      <c r="M36" s="126"/>
      <c r="N36" s="128"/>
      <c r="O36" s="129"/>
      <c r="P36" s="125"/>
      <c r="Q36" s="69" t="s">
        <v>147</v>
      </c>
      <c r="R36" s="69" t="s">
        <v>147</v>
      </c>
    </row>
    <row r="37" ht="17.25" customHeight="1" spans="1:18" x14ac:dyDescent="0.25">
      <c r="A37" s="117">
        <v>8</v>
      </c>
      <c r="B37" s="122"/>
      <c r="C37" s="119">
        <f t="shared" si="5"/>
      </c>
      <c r="D37" s="120"/>
      <c r="E37" s="121"/>
      <c r="F37" s="119"/>
      <c r="G37" s="119">
        <f t="shared" si="1"/>
      </c>
      <c r="H37" s="119">
        <f t="shared" si="2"/>
      </c>
      <c r="I37" s="119">
        <f t="shared" si="3"/>
      </c>
      <c r="J37" s="119">
        <f t="shared" si="4"/>
      </c>
      <c r="K37" s="122"/>
      <c r="L37" s="123"/>
      <c r="M37" s="126"/>
      <c r="N37" s="126"/>
      <c r="O37" s="127"/>
      <c r="P37" s="125"/>
      <c r="Q37" s="69" t="s">
        <v>148</v>
      </c>
      <c r="R37" s="69" t="s">
        <v>148</v>
      </c>
    </row>
    <row r="38" ht="17.25" customHeight="1" spans="1:18" x14ac:dyDescent="0.25">
      <c r="A38" s="117">
        <v>9</v>
      </c>
      <c r="B38" s="122"/>
      <c r="C38" s="119">
        <f t="shared" si="5"/>
      </c>
      <c r="D38" s="120"/>
      <c r="E38" s="121"/>
      <c r="F38" s="119"/>
      <c r="G38" s="119">
        <f t="shared" si="1"/>
      </c>
      <c r="H38" s="119">
        <f t="shared" si="2"/>
      </c>
      <c r="I38" s="119">
        <f t="shared" si="3"/>
      </c>
      <c r="J38" s="119">
        <f t="shared" si="4"/>
      </c>
      <c r="K38" s="124"/>
      <c r="L38" s="123"/>
      <c r="M38" s="126"/>
      <c r="N38" s="128"/>
      <c r="O38" s="129"/>
      <c r="P38" s="125"/>
      <c r="Q38" s="125"/>
      <c r="R38" s="125"/>
    </row>
    <row r="39" ht="17.25" customHeight="1" spans="1:18" x14ac:dyDescent="0.25">
      <c r="A39" s="117">
        <v>10</v>
      </c>
      <c r="B39" s="122"/>
      <c r="C39" s="119">
        <f t="shared" si="5"/>
      </c>
      <c r="D39" s="120"/>
      <c r="E39" s="121"/>
      <c r="F39" s="119"/>
      <c r="G39" s="119">
        <f t="shared" si="1"/>
      </c>
      <c r="H39" s="119">
        <f t="shared" si="2"/>
      </c>
      <c r="I39" s="119">
        <f t="shared" si="3"/>
      </c>
      <c r="J39" s="119">
        <f t="shared" si="4"/>
      </c>
      <c r="K39" s="122"/>
      <c r="L39" s="123"/>
      <c r="M39" s="126"/>
      <c r="N39" s="126"/>
      <c r="O39" s="127"/>
      <c r="P39" s="125"/>
      <c r="Q39" s="125"/>
      <c r="R39" s="125"/>
    </row>
    <row r="40" ht="17.25" customHeight="1" spans="1:18" x14ac:dyDescent="0.25">
      <c r="A40" s="117">
        <v>11</v>
      </c>
      <c r="B40" s="122"/>
      <c r="C40" s="119">
        <f t="shared" si="5"/>
      </c>
      <c r="D40" s="120"/>
      <c r="E40" s="121"/>
      <c r="F40" s="119"/>
      <c r="G40" s="119">
        <f t="shared" si="1"/>
      </c>
      <c r="H40" s="119">
        <f t="shared" si="2"/>
      </c>
      <c r="I40" s="119">
        <f t="shared" si="3"/>
      </c>
      <c r="J40" s="119">
        <f t="shared" si="4"/>
      </c>
      <c r="K40" s="122"/>
      <c r="L40" s="123"/>
      <c r="M40" s="126"/>
      <c r="N40" s="126"/>
      <c r="O40" s="127"/>
      <c r="P40" s="125"/>
      <c r="Q40" s="125"/>
      <c r="R40" s="125"/>
    </row>
    <row r="41" ht="17.25" customHeight="1" spans="1:18" x14ac:dyDescent="0.25">
      <c r="A41" s="117">
        <v>12</v>
      </c>
      <c r="B41" s="122" t="s">
        <v>142</v>
      </c>
      <c r="C41" s="119">
        <f t="shared" si="5"/>
      </c>
      <c r="D41" s="120"/>
      <c r="E41" s="121"/>
      <c r="F41" s="119"/>
      <c r="G41" s="119">
        <f t="shared" si="1"/>
      </c>
      <c r="H41" s="119">
        <f t="shared" si="2"/>
      </c>
      <c r="I41" s="119">
        <f t="shared" si="3"/>
      </c>
      <c r="J41" s="119">
        <f t="shared" si="4"/>
      </c>
      <c r="K41" s="122"/>
      <c r="L41" s="123"/>
      <c r="M41" s="126"/>
      <c r="N41" s="126"/>
      <c r="O41" s="127"/>
      <c r="P41" s="125"/>
      <c r="Q41" s="125"/>
      <c r="R41" s="125"/>
    </row>
    <row r="42" ht="17.25" customHeight="1" spans="1:18" x14ac:dyDescent="0.25">
      <c r="A42" s="117">
        <v>13</v>
      </c>
      <c r="B42" s="122"/>
      <c r="C42" s="119">
        <f t="shared" si="5"/>
      </c>
      <c r="D42" s="120"/>
      <c r="E42" s="121"/>
      <c r="F42" s="119"/>
      <c r="G42" s="119">
        <f t="shared" si="1"/>
      </c>
      <c r="H42" s="119">
        <f t="shared" si="2"/>
      </c>
      <c r="I42" s="119">
        <f t="shared" si="3"/>
      </c>
      <c r="J42" s="119">
        <f t="shared" si="4"/>
      </c>
      <c r="K42" s="124"/>
      <c r="L42" s="123"/>
      <c r="M42" s="126"/>
      <c r="N42" s="128"/>
      <c r="O42" s="129"/>
      <c r="P42" s="125"/>
      <c r="Q42" s="125"/>
      <c r="R42" s="125"/>
    </row>
    <row r="43" ht="17.25" customHeight="1" spans="1:18" x14ac:dyDescent="0.25">
      <c r="A43" s="117">
        <v>14</v>
      </c>
      <c r="B43" s="122"/>
      <c r="C43" s="119">
        <f t="shared" si="5"/>
      </c>
      <c r="D43" s="120"/>
      <c r="E43" s="121"/>
      <c r="F43" s="119"/>
      <c r="G43" s="119">
        <f t="shared" si="1"/>
      </c>
      <c r="H43" s="119">
        <f t="shared" si="2"/>
      </c>
      <c r="I43" s="119">
        <f t="shared" si="3"/>
      </c>
      <c r="J43" s="119">
        <f t="shared" si="4"/>
      </c>
      <c r="K43" s="122"/>
      <c r="L43" s="123"/>
      <c r="M43" s="126"/>
      <c r="N43" s="126"/>
      <c r="O43" s="127"/>
      <c r="P43" s="125"/>
      <c r="Q43" s="125"/>
      <c r="R43" s="125"/>
    </row>
    <row r="44" ht="17.25" customHeight="1" spans="1:18" x14ac:dyDescent="0.25">
      <c r="A44" s="117">
        <v>15</v>
      </c>
      <c r="B44" s="122"/>
      <c r="C44" s="119">
        <f t="shared" si="5"/>
      </c>
      <c r="D44" s="120"/>
      <c r="E44" s="121"/>
      <c r="F44" s="119"/>
      <c r="G44" s="119">
        <f t="shared" si="1"/>
      </c>
      <c r="H44" s="119">
        <f t="shared" si="2"/>
      </c>
      <c r="I44" s="119">
        <f t="shared" si="3"/>
      </c>
      <c r="J44" s="119">
        <f t="shared" si="4"/>
      </c>
      <c r="K44" s="122"/>
      <c r="L44" s="123"/>
      <c r="M44" s="126"/>
      <c r="N44" s="126"/>
      <c r="O44" s="127"/>
      <c r="P44" s="125"/>
      <c r="Q44" s="125"/>
      <c r="R44" s="125"/>
    </row>
    <row r="45" ht="17.25" customHeight="1" spans="1:18" x14ac:dyDescent="0.25">
      <c r="A45" s="117">
        <v>16</v>
      </c>
      <c r="B45" s="122" t="s">
        <v>142</v>
      </c>
      <c r="C45" s="119">
        <f t="shared" si="5"/>
      </c>
      <c r="D45" s="120"/>
      <c r="E45" s="121"/>
      <c r="F45" s="119"/>
      <c r="G45" s="119">
        <f t="shared" si="1"/>
      </c>
      <c r="H45" s="119">
        <f t="shared" si="2"/>
      </c>
      <c r="I45" s="119">
        <f t="shared" si="3"/>
      </c>
      <c r="J45" s="119">
        <f t="shared" si="4"/>
      </c>
      <c r="K45" s="122"/>
      <c r="L45" s="123"/>
      <c r="M45" s="126"/>
      <c r="N45" s="126"/>
      <c r="O45" s="127"/>
      <c r="P45" s="125"/>
      <c r="Q45" s="125"/>
      <c r="R45" s="125"/>
    </row>
    <row r="46" ht="17.25" customHeight="1" spans="1:18" x14ac:dyDescent="0.25">
      <c r="A46" s="117">
        <v>17</v>
      </c>
      <c r="B46" s="122"/>
      <c r="C46" s="119">
        <f t="shared" si="5"/>
      </c>
      <c r="D46" s="120"/>
      <c r="E46" s="121"/>
      <c r="F46" s="119"/>
      <c r="G46" s="119">
        <f t="shared" si="1"/>
      </c>
      <c r="H46" s="119">
        <f t="shared" si="2"/>
      </c>
      <c r="I46" s="119">
        <f t="shared" si="3"/>
      </c>
      <c r="J46" s="119">
        <f t="shared" si="4"/>
      </c>
      <c r="K46" s="122"/>
      <c r="L46" s="123"/>
      <c r="M46" s="126"/>
      <c r="N46" s="126"/>
      <c r="O46" s="127"/>
      <c r="P46" s="125"/>
      <c r="Q46" s="125"/>
      <c r="R46" s="125"/>
    </row>
    <row r="47" ht="17.25" customHeight="1" spans="1:18" x14ac:dyDescent="0.25">
      <c r="A47" s="117">
        <v>18</v>
      </c>
      <c r="B47" s="122"/>
      <c r="C47" s="119">
        <f t="shared" si="5"/>
      </c>
      <c r="D47" s="120"/>
      <c r="E47" s="121"/>
      <c r="F47" s="119"/>
      <c r="G47" s="119">
        <f t="shared" si="1"/>
      </c>
      <c r="H47" s="119">
        <f t="shared" si="2"/>
      </c>
      <c r="I47" s="119">
        <f t="shared" si="3"/>
      </c>
      <c r="J47" s="119">
        <f t="shared" si="4"/>
      </c>
      <c r="K47" s="122"/>
      <c r="L47" s="123"/>
      <c r="M47" s="126"/>
      <c r="N47" s="126"/>
      <c r="O47" s="127"/>
      <c r="P47" s="125"/>
      <c r="Q47" s="125"/>
      <c r="R47" s="125"/>
    </row>
    <row r="48" ht="17.25" customHeight="1" spans="1:18" x14ac:dyDescent="0.25">
      <c r="A48" s="117">
        <v>19</v>
      </c>
      <c r="B48" s="122" t="s">
        <v>142</v>
      </c>
      <c r="C48" s="119">
        <f t="shared" si="5"/>
      </c>
      <c r="D48" s="120"/>
      <c r="E48" s="121"/>
      <c r="F48" s="119"/>
      <c r="G48" s="119">
        <f t="shared" si="1"/>
      </c>
      <c r="H48" s="119">
        <f t="shared" si="2"/>
      </c>
      <c r="I48" s="119">
        <f t="shared" si="3"/>
      </c>
      <c r="J48" s="119">
        <f t="shared" si="4"/>
      </c>
      <c r="K48" s="124"/>
      <c r="L48" s="123"/>
      <c r="M48" s="126"/>
      <c r="N48" s="128"/>
      <c r="O48" s="129"/>
      <c r="P48" s="125"/>
      <c r="Q48" s="125"/>
      <c r="R48" s="125"/>
    </row>
    <row r="49" ht="17.25" customHeight="1" spans="1:18" x14ac:dyDescent="0.25">
      <c r="A49" s="130">
        <v>20</v>
      </c>
      <c r="B49" s="130" t="s">
        <v>142</v>
      </c>
      <c r="C49" s="119">
        <f t="shared" si="5"/>
      </c>
      <c r="D49" s="120"/>
      <c r="E49" s="121"/>
      <c r="F49" s="119"/>
      <c r="G49" s="119">
        <f t="shared" si="1"/>
      </c>
      <c r="H49" s="119">
        <f t="shared" si="2"/>
      </c>
      <c r="I49" s="119">
        <f t="shared" si="3"/>
      </c>
      <c r="J49" s="119">
        <f t="shared" si="4"/>
      </c>
      <c r="K49" s="131"/>
      <c r="L49" s="132"/>
      <c r="M49" s="133"/>
      <c r="N49" s="134"/>
      <c r="O49" s="135"/>
      <c r="P49" s="125"/>
      <c r="Q49" s="125"/>
      <c r="R49" s="125"/>
    </row>
    <row r="50" ht="14.25" customHeight="1" spans="1:18" x14ac:dyDescent="0.25">
      <c r="A50" s="4"/>
      <c r="B50" s="4"/>
      <c r="C50" s="5"/>
      <c r="D50" s="4"/>
      <c r="E50" s="4"/>
      <c r="F50" s="136"/>
      <c r="G50" s="4"/>
      <c r="H50" s="4"/>
      <c r="I50" s="4"/>
      <c r="J50" s="5"/>
      <c r="K50" s="4"/>
      <c r="L50" s="137"/>
      <c r="M50" s="4"/>
      <c r="N50" s="138">
        <f>SUM(O30:O49)</f>
        <v>11100</v>
      </c>
      <c r="O50" s="139"/>
      <c r="P50" s="140"/>
      <c r="Q50" s="141"/>
      <c r="R50" s="141"/>
    </row>
    <row r="51" ht="14.25" customHeight="1" spans="3:36" s="1" customFormat="1" x14ac:dyDescent="0.25">
      <c r="C51" s="2"/>
      <c r="F51" s="3"/>
      <c r="J51" s="2"/>
      <c r="L51" s="142"/>
      <c r="AJ51" s="2"/>
    </row>
    <row r="52" ht="14.25" customHeight="1" spans="3:36" s="1" customFormat="1" x14ac:dyDescent="0.25">
      <c r="C52" s="2"/>
      <c r="F52" s="3"/>
      <c r="J52" s="2"/>
      <c r="L52" s="142"/>
      <c r="AJ52" s="2"/>
    </row>
    <row r="53" ht="14.25" customHeight="1" spans="3:36" s="1" customFormat="1" x14ac:dyDescent="0.25">
      <c r="C53" s="2"/>
      <c r="F53" s="3"/>
      <c r="J53" s="2"/>
      <c r="L53" s="142"/>
      <c r="AJ53" s="2"/>
    </row>
    <row r="54" ht="14.25" customHeight="1" spans="3:36" s="1" customFormat="1" x14ac:dyDescent="0.25">
      <c r="C54" s="2"/>
      <c r="F54" s="3"/>
      <c r="J54" s="2"/>
      <c r="L54" s="142"/>
      <c r="AJ54" s="2"/>
    </row>
    <row r="55" ht="14.25" customHeight="1" spans="3:36" s="1" customFormat="1" x14ac:dyDescent="0.25">
      <c r="C55" s="2"/>
      <c r="F55" s="3"/>
      <c r="J55" s="2"/>
      <c r="L55" s="142"/>
      <c r="AJ55" s="2"/>
    </row>
    <row r="56" ht="14.25" customHeight="1" spans="3:36" s="1" customFormat="1" x14ac:dyDescent="0.25">
      <c r="C56" s="2"/>
      <c r="F56" s="3"/>
      <c r="J56" s="2"/>
      <c r="L56" s="142"/>
      <c r="AJ56" s="2"/>
    </row>
    <row r="57" ht="14.25" customHeight="1" spans="3:36" s="1" customFormat="1" x14ac:dyDescent="0.25">
      <c r="C57" s="2"/>
      <c r="F57" s="3"/>
      <c r="J57" s="2"/>
      <c r="L57" s="142"/>
      <c r="AJ57" s="2"/>
    </row>
    <row r="58" ht="14.25" customHeight="1" spans="3:36" s="1" customFormat="1" x14ac:dyDescent="0.25">
      <c r="C58" s="2"/>
      <c r="F58" s="3"/>
      <c r="J58" s="2"/>
      <c r="L58" s="142"/>
      <c r="AJ58" s="2"/>
    </row>
    <row r="59" ht="14.25" customHeight="1" spans="3:36" s="1" customFormat="1" x14ac:dyDescent="0.25">
      <c r="C59" s="2"/>
      <c r="F59" s="3"/>
      <c r="J59" s="2"/>
      <c r="L59" s="142"/>
      <c r="AJ59" s="2"/>
    </row>
    <row r="60" ht="14.25" customHeight="1" spans="3:36" s="1" customFormat="1" x14ac:dyDescent="0.25">
      <c r="C60" s="2"/>
      <c r="F60" s="3"/>
      <c r="J60" s="2"/>
      <c r="L60" s="142"/>
      <c r="AJ60" s="2"/>
    </row>
    <row r="61" ht="14.25" customHeight="1" spans="3:36" s="1" customFormat="1" x14ac:dyDescent="0.25">
      <c r="C61" s="2"/>
      <c r="F61" s="3"/>
      <c r="J61" s="2"/>
      <c r="L61" s="142"/>
      <c r="AJ61" s="2"/>
    </row>
    <row r="62" ht="14.25" customHeight="1" spans="3:36" s="1" customFormat="1" x14ac:dyDescent="0.25">
      <c r="C62" s="2"/>
      <c r="F62" s="3"/>
      <c r="J62" s="2"/>
      <c r="L62" s="142"/>
      <c r="AJ62" s="2"/>
    </row>
    <row r="63" ht="14.25" customHeight="1" spans="3:36" s="1" customFormat="1" x14ac:dyDescent="0.25">
      <c r="C63" s="2"/>
      <c r="F63" s="3"/>
      <c r="J63" s="2"/>
      <c r="L63" s="142"/>
      <c r="AJ63" s="2"/>
    </row>
    <row r="64" ht="14.25" customHeight="1" spans="3:36" s="1" customFormat="1" x14ac:dyDescent="0.25">
      <c r="C64" s="2"/>
      <c r="F64" s="3"/>
      <c r="J64" s="2"/>
      <c r="L64" s="142"/>
      <c r="AJ64" s="2"/>
    </row>
    <row r="65" ht="14.25" customHeight="1" spans="3:36" s="1" customFormat="1" x14ac:dyDescent="0.25">
      <c r="C65" s="2"/>
      <c r="F65" s="3"/>
      <c r="J65" s="2"/>
      <c r="L65" s="142"/>
      <c r="AJ65" s="2"/>
    </row>
    <row r="66" ht="14.25" customHeight="1" spans="3:36" s="1" customFormat="1" x14ac:dyDescent="0.25">
      <c r="C66" s="2"/>
      <c r="F66" s="3"/>
      <c r="J66" s="2"/>
      <c r="L66" s="142"/>
      <c r="AJ66" s="2"/>
    </row>
    <row r="67" ht="14.25" customHeight="1" spans="3:36" s="1" customFormat="1" x14ac:dyDescent="0.25">
      <c r="C67" s="2"/>
      <c r="F67" s="3"/>
      <c r="J67" s="2"/>
      <c r="L67" s="142"/>
      <c r="AJ67" s="2"/>
    </row>
    <row r="68" ht="14.25" customHeight="1" spans="3:36" s="1" customFormat="1" x14ac:dyDescent="0.25">
      <c r="C68" s="2"/>
      <c r="F68" s="3"/>
      <c r="J68" s="2"/>
      <c r="L68" s="142"/>
      <c r="AJ68" s="2"/>
    </row>
    <row r="69" ht="14.25" customHeight="1" spans="3:36" s="1" customFormat="1" x14ac:dyDescent="0.25">
      <c r="C69" s="2"/>
      <c r="F69" s="3"/>
      <c r="J69" s="2"/>
      <c r="L69" s="142"/>
      <c r="AJ69" s="2"/>
    </row>
    <row r="70" ht="14.25" customHeight="1" spans="3:36" s="1" customFormat="1" x14ac:dyDescent="0.25">
      <c r="C70" s="2"/>
      <c r="F70" s="3"/>
      <c r="J70" s="2"/>
      <c r="L70" s="142"/>
      <c r="AJ70" s="2"/>
    </row>
    <row r="71" ht="14.25" customHeight="1" spans="3:36" s="1" customFormat="1" x14ac:dyDescent="0.25">
      <c r="C71" s="2"/>
      <c r="F71" s="3"/>
      <c r="J71" s="2"/>
      <c r="L71" s="142"/>
      <c r="AJ71" s="2"/>
    </row>
    <row r="72" ht="14.25" customHeight="1" spans="3:36" s="1" customFormat="1" x14ac:dyDescent="0.25">
      <c r="C72" s="2"/>
      <c r="F72" s="3"/>
      <c r="J72" s="2"/>
      <c r="L72" s="142"/>
      <c r="AJ72" s="2"/>
    </row>
    <row r="73" ht="14.25" customHeight="1" spans="3:36" s="1" customFormat="1" x14ac:dyDescent="0.25">
      <c r="C73" s="2"/>
      <c r="F73" s="3"/>
      <c r="J73" s="2"/>
      <c r="L73" s="142"/>
      <c r="AJ73" s="2"/>
    </row>
    <row r="74" ht="14.25" customHeight="1" spans="3:36" s="1" customFormat="1" x14ac:dyDescent="0.25">
      <c r="C74" s="2"/>
      <c r="F74" s="3"/>
      <c r="J74" s="2"/>
      <c r="L74" s="142"/>
      <c r="AJ74" s="2"/>
    </row>
    <row r="75" ht="14.25" customHeight="1" spans="3:36" s="1" customFormat="1" x14ac:dyDescent="0.25">
      <c r="C75" s="2"/>
      <c r="F75" s="3"/>
      <c r="J75" s="2"/>
      <c r="L75" s="142"/>
      <c r="AJ75" s="2"/>
    </row>
    <row r="76" ht="14.25" customHeight="1" spans="3:36" s="1" customFormat="1" x14ac:dyDescent="0.25">
      <c r="C76" s="2"/>
      <c r="F76" s="3"/>
      <c r="J76" s="2"/>
      <c r="L76" s="142"/>
      <c r="AJ76" s="2"/>
    </row>
    <row r="77" ht="14.25" customHeight="1" spans="3:36" s="1" customFormat="1" x14ac:dyDescent="0.25">
      <c r="C77" s="2"/>
      <c r="F77" s="3"/>
      <c r="J77" s="2"/>
      <c r="L77" s="142"/>
      <c r="AJ77" s="2"/>
    </row>
    <row r="78" ht="14.25" customHeight="1" spans="3:36" s="1" customFormat="1" x14ac:dyDescent="0.25">
      <c r="C78" s="2"/>
      <c r="F78" s="3"/>
      <c r="J78" s="2"/>
      <c r="L78" s="142"/>
      <c r="AJ78" s="2"/>
    </row>
    <row r="79" ht="14.25" customHeight="1" spans="3:36" s="1" customFormat="1" x14ac:dyDescent="0.25">
      <c r="C79" s="2"/>
      <c r="F79" s="3"/>
      <c r="J79" s="2"/>
      <c r="L79" s="142"/>
      <c r="AJ79" s="2"/>
    </row>
    <row r="80" ht="14.25" customHeight="1" spans="3:36" s="1" customFormat="1" x14ac:dyDescent="0.25">
      <c r="C80" s="2"/>
      <c r="F80" s="3"/>
      <c r="J80" s="2"/>
      <c r="L80" s="142"/>
      <c r="AJ80" s="2"/>
    </row>
    <row r="81" ht="14.25" customHeight="1" spans="3:36" s="1" customFormat="1" x14ac:dyDescent="0.25">
      <c r="C81" s="2"/>
      <c r="F81" s="3"/>
      <c r="J81" s="2"/>
      <c r="L81" s="142"/>
      <c r="AJ81" s="2"/>
    </row>
    <row r="82" ht="14.25" customHeight="1" spans="3:36" s="1" customFormat="1" x14ac:dyDescent="0.25">
      <c r="C82" s="2"/>
      <c r="F82" s="3"/>
      <c r="J82" s="2"/>
      <c r="L82" s="142"/>
      <c r="AJ82" s="2"/>
    </row>
    <row r="83" ht="14.25" customHeight="1" spans="3:36" s="1" customFormat="1" x14ac:dyDescent="0.25">
      <c r="C83" s="2"/>
      <c r="F83" s="3"/>
      <c r="J83" s="2"/>
      <c r="L83" s="142"/>
      <c r="AJ83" s="2"/>
    </row>
    <row r="84" ht="14.25" customHeight="1" spans="3:36" s="1" customFormat="1" x14ac:dyDescent="0.25">
      <c r="C84" s="2"/>
      <c r="F84" s="3"/>
      <c r="J84" s="2"/>
      <c r="L84" s="142"/>
      <c r="AJ84" s="2"/>
    </row>
    <row r="85" ht="14.25" customHeight="1" spans="3:36" s="1" customFormat="1" x14ac:dyDescent="0.25">
      <c r="C85" s="2"/>
      <c r="F85" s="3"/>
      <c r="J85" s="2"/>
      <c r="L85" s="142"/>
      <c r="AJ85" s="2"/>
    </row>
    <row r="86" ht="14.25" customHeight="1" spans="3:36" s="1" customFormat="1" x14ac:dyDescent="0.25">
      <c r="C86" s="2"/>
      <c r="F86" s="3"/>
      <c r="J86" s="2"/>
      <c r="L86" s="142"/>
      <c r="AJ86" s="2"/>
    </row>
    <row r="87" ht="14.25" customHeight="1" spans="3:36" s="1" customFormat="1" x14ac:dyDescent="0.25">
      <c r="C87" s="2"/>
      <c r="F87" s="3"/>
      <c r="J87" s="2"/>
      <c r="L87" s="142"/>
      <c r="AJ87" s="2"/>
    </row>
    <row r="88" ht="14.25" customHeight="1" spans="3:36" s="1" customFormat="1" x14ac:dyDescent="0.25">
      <c r="C88" s="2"/>
      <c r="F88" s="3"/>
      <c r="J88" s="2"/>
      <c r="L88" s="142"/>
      <c r="AJ88" s="2"/>
    </row>
    <row r="89" ht="14.25" customHeight="1" spans="3:36" s="1" customFormat="1" x14ac:dyDescent="0.25">
      <c r="C89" s="2"/>
      <c r="F89" s="3"/>
      <c r="J89" s="2"/>
      <c r="L89" s="142"/>
      <c r="AJ89" s="2"/>
    </row>
    <row r="90" ht="14.25" customHeight="1" spans="3:36" s="1" customFormat="1" x14ac:dyDescent="0.25">
      <c r="C90" s="2"/>
      <c r="F90" s="3"/>
      <c r="J90" s="2"/>
      <c r="L90" s="142"/>
      <c r="AJ90" s="2"/>
    </row>
    <row r="91" ht="14.25" customHeight="1" spans="3:36" s="1" customFormat="1" x14ac:dyDescent="0.25">
      <c r="C91" s="2"/>
      <c r="F91" s="3"/>
      <c r="J91" s="2"/>
      <c r="L91" s="142"/>
      <c r="AJ91" s="2"/>
    </row>
    <row r="92" ht="14.25" customHeight="1" spans="3:36" s="1" customFormat="1" x14ac:dyDescent="0.25">
      <c r="C92" s="2"/>
      <c r="F92" s="3"/>
      <c r="J92" s="2"/>
      <c r="L92" s="142"/>
      <c r="AJ92" s="2"/>
    </row>
    <row r="93" ht="14.25" customHeight="1" spans="3:36" s="1" customFormat="1" x14ac:dyDescent="0.25">
      <c r="C93" s="2"/>
      <c r="F93" s="3"/>
      <c r="J93" s="2"/>
      <c r="L93" s="142"/>
      <c r="AJ93" s="2"/>
    </row>
    <row r="94" ht="14.25" customHeight="1" spans="3:36" s="1" customFormat="1" x14ac:dyDescent="0.25">
      <c r="C94" s="2"/>
      <c r="F94" s="3"/>
      <c r="J94" s="2"/>
      <c r="L94" s="142"/>
      <c r="AJ94" s="2"/>
    </row>
    <row r="95" ht="14.25" customHeight="1" spans="3:36" s="1" customFormat="1" x14ac:dyDescent="0.25">
      <c r="C95" s="2"/>
      <c r="F95" s="3"/>
      <c r="J95" s="2"/>
      <c r="L95" s="142"/>
      <c r="AJ95" s="2"/>
    </row>
    <row r="96" ht="14.25" customHeight="1" spans="3:36" s="1" customFormat="1" x14ac:dyDescent="0.25">
      <c r="C96" s="2"/>
      <c r="F96" s="3"/>
      <c r="J96" s="2"/>
      <c r="L96" s="142"/>
      <c r="AJ96" s="2"/>
    </row>
    <row r="97" ht="14.25" customHeight="1" spans="3:36" s="1" customFormat="1" x14ac:dyDescent="0.25">
      <c r="C97" s="2"/>
      <c r="F97" s="3"/>
      <c r="J97" s="2"/>
      <c r="L97" s="142"/>
      <c r="AJ97" s="2"/>
    </row>
    <row r="98" ht="14.25" customHeight="1" spans="3:36" s="1" customFormat="1" x14ac:dyDescent="0.25">
      <c r="C98" s="2"/>
      <c r="F98" s="3"/>
      <c r="J98" s="2"/>
      <c r="L98" s="142"/>
      <c r="AJ98" s="2"/>
    </row>
    <row r="99" ht="14.25" customHeight="1" spans="3:36" s="1" customFormat="1" x14ac:dyDescent="0.25">
      <c r="C99" s="2"/>
      <c r="F99" s="3"/>
      <c r="J99" s="2"/>
      <c r="L99" s="142"/>
      <c r="AJ99" s="2"/>
    </row>
    <row r="100" ht="14.25" customHeight="1" spans="3:36" s="1" customFormat="1" x14ac:dyDescent="0.25">
      <c r="C100" s="2"/>
      <c r="F100" s="3"/>
      <c r="J100" s="2"/>
      <c r="L100" s="142"/>
      <c r="AJ100" s="2"/>
    </row>
    <row r="101" ht="14.25" customHeight="1" spans="3:36" s="1" customFormat="1" x14ac:dyDescent="0.25">
      <c r="C101" s="2"/>
      <c r="F101" s="3"/>
      <c r="J101" s="2"/>
      <c r="L101" s="142"/>
      <c r="AJ101" s="2"/>
    </row>
    <row r="102" ht="14.25" customHeight="1" spans="3:36" s="1" customFormat="1" x14ac:dyDescent="0.25">
      <c r="C102" s="2"/>
      <c r="F102" s="3"/>
      <c r="J102" s="2"/>
      <c r="L102" s="142"/>
      <c r="AJ102" s="2"/>
    </row>
    <row r="103" ht="14.25" customHeight="1" spans="3:36" s="1" customFormat="1" x14ac:dyDescent="0.25">
      <c r="C103" s="2"/>
      <c r="F103" s="3"/>
      <c r="J103" s="2"/>
      <c r="L103" s="142"/>
      <c r="AJ103" s="2"/>
    </row>
    <row r="104" ht="14.25" customHeight="1" spans="3:36" s="1" customFormat="1" x14ac:dyDescent="0.25">
      <c r="C104" s="2"/>
      <c r="F104" s="3"/>
      <c r="J104" s="2"/>
      <c r="L104" s="142"/>
      <c r="AJ104" s="2"/>
    </row>
    <row r="105" ht="14.25" customHeight="1" spans="3:36" s="1" customFormat="1" x14ac:dyDescent="0.25">
      <c r="C105" s="2"/>
      <c r="F105" s="3"/>
      <c r="J105" s="2"/>
      <c r="L105" s="142"/>
      <c r="AJ105" s="2"/>
    </row>
    <row r="106" ht="14.25" customHeight="1" spans="3:36" s="1" customFormat="1" x14ac:dyDescent="0.25">
      <c r="C106" s="2"/>
      <c r="F106" s="3"/>
      <c r="J106" s="2"/>
      <c r="L106" s="142"/>
      <c r="AJ106" s="2"/>
    </row>
    <row r="107" ht="14.25" customHeight="1" spans="3:36" s="1" customFormat="1" x14ac:dyDescent="0.25">
      <c r="C107" s="2"/>
      <c r="F107" s="3"/>
      <c r="J107" s="2"/>
      <c r="L107" s="142"/>
      <c r="AJ107" s="2"/>
    </row>
    <row r="108" ht="14.25" customHeight="1" spans="3:36" s="1" customFormat="1" x14ac:dyDescent="0.25">
      <c r="C108" s="2"/>
      <c r="F108" s="3"/>
      <c r="J108" s="2"/>
      <c r="L108" s="142"/>
      <c r="AJ108" s="2"/>
    </row>
    <row r="109" ht="14.25" customHeight="1" spans="3:36" s="1" customFormat="1" x14ac:dyDescent="0.25">
      <c r="C109" s="2"/>
      <c r="F109" s="3"/>
      <c r="J109" s="2"/>
      <c r="L109" s="142"/>
      <c r="AJ109" s="2"/>
    </row>
    <row r="110" ht="14.25" customHeight="1" spans="3:36" s="1" customFormat="1" x14ac:dyDescent="0.25">
      <c r="C110" s="2"/>
      <c r="F110" s="3"/>
      <c r="J110" s="2"/>
      <c r="L110" s="142"/>
      <c r="AJ110" s="2"/>
    </row>
    <row r="111" ht="14.25" customHeight="1" spans="3:36" s="1" customFormat="1" x14ac:dyDescent="0.25">
      <c r="C111" s="2"/>
      <c r="F111" s="3"/>
      <c r="J111" s="2"/>
      <c r="L111" s="142"/>
      <c r="AJ111" s="2"/>
    </row>
    <row r="112" ht="14.25" customHeight="1" spans="3:36" s="1" customFormat="1" x14ac:dyDescent="0.25">
      <c r="C112" s="2"/>
      <c r="F112" s="3"/>
      <c r="J112" s="2"/>
      <c r="L112" s="142"/>
      <c r="AJ112" s="2"/>
    </row>
    <row r="113" ht="14.25" customHeight="1" spans="3:36" s="1" customFormat="1" x14ac:dyDescent="0.25">
      <c r="C113" s="2"/>
      <c r="F113" s="3"/>
      <c r="J113" s="2"/>
      <c r="L113" s="142"/>
      <c r="AJ113" s="2"/>
    </row>
    <row r="114" ht="14.25" customHeight="1" spans="3:36" s="1" customFormat="1" x14ac:dyDescent="0.25">
      <c r="C114" s="2"/>
      <c r="F114" s="3"/>
      <c r="J114" s="2"/>
      <c r="L114" s="142"/>
      <c r="AJ114" s="2"/>
    </row>
    <row r="115" ht="14.25" customHeight="1" spans="3:36" s="1" customFormat="1" x14ac:dyDescent="0.25">
      <c r="C115" s="2"/>
      <c r="F115" s="3"/>
      <c r="J115" s="2"/>
      <c r="L115" s="142"/>
      <c r="AJ115" s="2"/>
    </row>
    <row r="116" ht="14.25" customHeight="1" spans="3:36" s="1" customFormat="1" x14ac:dyDescent="0.25">
      <c r="C116" s="2"/>
      <c r="F116" s="3"/>
      <c r="J116" s="2"/>
      <c r="L116" s="142"/>
      <c r="AJ116" s="2"/>
    </row>
    <row r="117" ht="14.25" customHeight="1" spans="3:36" s="1" customFormat="1" x14ac:dyDescent="0.25">
      <c r="C117" s="2"/>
      <c r="F117" s="3"/>
      <c r="J117" s="2"/>
      <c r="L117" s="142"/>
      <c r="AJ117" s="2"/>
    </row>
    <row r="118" ht="14.25" customHeight="1" spans="3:36" s="1" customFormat="1" x14ac:dyDescent="0.25">
      <c r="C118" s="2"/>
      <c r="F118" s="3"/>
      <c r="J118" s="2"/>
      <c r="L118" s="142"/>
      <c r="AJ118" s="2"/>
    </row>
    <row r="119" ht="14.25" customHeight="1" spans="3:36" s="1" customFormat="1" x14ac:dyDescent="0.25">
      <c r="C119" s="2"/>
      <c r="F119" s="3"/>
      <c r="J119" s="2"/>
      <c r="L119" s="142"/>
      <c r="AJ119" s="2"/>
    </row>
    <row r="120" ht="14.25" customHeight="1" spans="3:36" s="1" customFormat="1" x14ac:dyDescent="0.25">
      <c r="C120" s="2"/>
      <c r="F120" s="3"/>
      <c r="J120" s="2"/>
      <c r="L120" s="142"/>
      <c r="AJ120" s="2"/>
    </row>
    <row r="121" ht="14.25" customHeight="1" spans="3:36" s="1" customFormat="1" x14ac:dyDescent="0.25">
      <c r="C121" s="2"/>
      <c r="F121" s="3"/>
      <c r="J121" s="2"/>
      <c r="L121" s="142"/>
      <c r="AJ121" s="2"/>
    </row>
    <row r="122" ht="14.25" customHeight="1" spans="3:36" s="1" customFormat="1" x14ac:dyDescent="0.25">
      <c r="C122" s="2"/>
      <c r="F122" s="3"/>
      <c r="J122" s="2"/>
      <c r="L122" s="142"/>
      <c r="AJ122" s="2"/>
    </row>
    <row r="123" ht="14.25" customHeight="1" spans="3:36" s="1" customFormat="1" x14ac:dyDescent="0.25">
      <c r="C123" s="2"/>
      <c r="F123" s="3"/>
      <c r="J123" s="2"/>
      <c r="L123" s="142"/>
      <c r="AJ123" s="2"/>
    </row>
    <row r="124" ht="14.25" customHeight="1" spans="3:36" s="1" customFormat="1" x14ac:dyDescent="0.25">
      <c r="C124" s="2"/>
      <c r="F124" s="3"/>
      <c r="J124" s="2"/>
      <c r="L124" s="142"/>
      <c r="AJ124" s="2"/>
    </row>
    <row r="125" ht="14.25" customHeight="1" spans="3:36" s="1" customFormat="1" x14ac:dyDescent="0.25">
      <c r="C125" s="2"/>
      <c r="F125" s="3"/>
      <c r="J125" s="2"/>
      <c r="L125" s="142"/>
      <c r="AJ125" s="2"/>
    </row>
    <row r="126" ht="14.25" customHeight="1" spans="3:36" s="1" customFormat="1" x14ac:dyDescent="0.25">
      <c r="C126" s="2"/>
      <c r="F126" s="3"/>
      <c r="J126" s="2"/>
      <c r="L126" s="142"/>
      <c r="AJ126" s="2"/>
    </row>
    <row r="127" ht="14.25" customHeight="1" spans="3:36" s="1" customFormat="1" x14ac:dyDescent="0.25">
      <c r="C127" s="2"/>
      <c r="F127" s="3"/>
      <c r="J127" s="2"/>
      <c r="L127" s="142"/>
      <c r="AJ127" s="2"/>
    </row>
    <row r="128" ht="14.25" customHeight="1" spans="3:36" s="1" customFormat="1" x14ac:dyDescent="0.25">
      <c r="C128" s="2"/>
      <c r="F128" s="3"/>
      <c r="J128" s="2"/>
      <c r="L128" s="142"/>
      <c r="AJ128" s="2"/>
    </row>
    <row r="129" ht="14.25" customHeight="1" spans="3:36" s="1" customFormat="1" x14ac:dyDescent="0.25">
      <c r="C129" s="2"/>
      <c r="F129" s="3"/>
      <c r="J129" s="2"/>
      <c r="L129" s="142"/>
      <c r="AJ129" s="2"/>
    </row>
    <row r="130" ht="14.25" customHeight="1" spans="3:36" s="1" customFormat="1" x14ac:dyDescent="0.25">
      <c r="C130" s="2"/>
      <c r="F130" s="3"/>
      <c r="J130" s="2"/>
      <c r="L130" s="142"/>
      <c r="AJ130" s="2"/>
    </row>
    <row r="131" ht="14.25" customHeight="1" spans="3:36" s="1" customFormat="1" x14ac:dyDescent="0.25">
      <c r="C131" s="2"/>
      <c r="F131" s="3"/>
      <c r="J131" s="2"/>
      <c r="L131" s="142"/>
      <c r="AJ131" s="2"/>
    </row>
    <row r="132" ht="14.25" customHeight="1" spans="3:36" s="1" customFormat="1" x14ac:dyDescent="0.25">
      <c r="C132" s="2"/>
      <c r="F132" s="3"/>
      <c r="J132" s="2"/>
      <c r="L132" s="142"/>
      <c r="AJ132" s="2"/>
    </row>
    <row r="133" ht="14.25" customHeight="1" spans="3:36" s="1" customFormat="1" x14ac:dyDescent="0.25">
      <c r="C133" s="2"/>
      <c r="F133" s="3"/>
      <c r="J133" s="2"/>
      <c r="L133" s="142"/>
      <c r="AJ133" s="2"/>
    </row>
    <row r="134" ht="14.25" customHeight="1" spans="3:36" s="1" customFormat="1" x14ac:dyDescent="0.25">
      <c r="C134" s="2"/>
      <c r="F134" s="3"/>
      <c r="J134" s="2"/>
      <c r="L134" s="142"/>
      <c r="AJ134" s="2"/>
    </row>
    <row r="135" ht="14.25" customHeight="1" spans="3:36" s="1" customFormat="1" x14ac:dyDescent="0.25">
      <c r="C135" s="2"/>
      <c r="F135" s="3"/>
      <c r="J135" s="2"/>
      <c r="L135" s="142"/>
      <c r="AJ135" s="2"/>
    </row>
    <row r="136" ht="14.25" customHeight="1" spans="3:36" s="1" customFormat="1" x14ac:dyDescent="0.25">
      <c r="C136" s="2"/>
      <c r="F136" s="3"/>
      <c r="J136" s="2"/>
      <c r="L136" s="142"/>
      <c r="AJ136" s="2"/>
    </row>
    <row r="137" ht="14.25" customHeight="1" spans="3:36" s="1" customFormat="1" x14ac:dyDescent="0.25">
      <c r="C137" s="2"/>
      <c r="F137" s="3"/>
      <c r="J137" s="2"/>
      <c r="L137" s="142"/>
      <c r="AJ137" s="2"/>
    </row>
    <row r="138" ht="14.25" customHeight="1" spans="3:36" s="1" customFormat="1" x14ac:dyDescent="0.25">
      <c r="C138" s="2"/>
      <c r="F138" s="3"/>
      <c r="J138" s="2"/>
      <c r="L138" s="142"/>
      <c r="AJ138" s="2"/>
    </row>
    <row r="139" ht="14.25" customHeight="1" spans="3:36" s="1" customFormat="1" x14ac:dyDescent="0.25">
      <c r="C139" s="2"/>
      <c r="F139" s="3"/>
      <c r="J139" s="2"/>
      <c r="L139" s="142"/>
      <c r="AJ139" s="2"/>
    </row>
    <row r="140" ht="14.25" customHeight="1" spans="3:36" s="1" customFormat="1" x14ac:dyDescent="0.25">
      <c r="C140" s="2"/>
      <c r="F140" s="3"/>
      <c r="J140" s="2"/>
      <c r="L140" s="142"/>
      <c r="AJ140" s="2"/>
    </row>
    <row r="141" ht="14.25" customHeight="1" spans="3:36" s="1" customFormat="1" x14ac:dyDescent="0.25">
      <c r="C141" s="2"/>
      <c r="F141" s="3"/>
      <c r="J141" s="2"/>
      <c r="L141" s="142"/>
      <c r="AJ141" s="2"/>
    </row>
    <row r="142" ht="14.25" customHeight="1" spans="3:36" s="1" customFormat="1" x14ac:dyDescent="0.25">
      <c r="C142" s="2"/>
      <c r="F142" s="3"/>
      <c r="J142" s="2"/>
      <c r="L142" s="142"/>
      <c r="AJ142" s="2"/>
    </row>
    <row r="143" ht="14.25" customHeight="1" spans="3:36" s="1" customFormat="1" x14ac:dyDescent="0.25">
      <c r="C143" s="2"/>
      <c r="F143" s="3"/>
      <c r="J143" s="2"/>
      <c r="L143" s="142"/>
      <c r="AJ143" s="2"/>
    </row>
    <row r="144" ht="14.25" customHeight="1" spans="3:36" s="1" customFormat="1" x14ac:dyDescent="0.25">
      <c r="C144" s="2"/>
      <c r="F144" s="3"/>
      <c r="J144" s="2"/>
      <c r="L144" s="142"/>
      <c r="AJ144" s="2"/>
    </row>
    <row r="145" ht="14.25" customHeight="1" spans="3:36" s="1" customFormat="1" x14ac:dyDescent="0.25">
      <c r="C145" s="2"/>
      <c r="F145" s="3"/>
      <c r="J145" s="2"/>
      <c r="L145" s="142"/>
      <c r="AJ145" s="2"/>
    </row>
    <row r="146" ht="14.25" customHeight="1" spans="3:36" s="1" customFormat="1" x14ac:dyDescent="0.25">
      <c r="C146" s="2"/>
      <c r="F146" s="3"/>
      <c r="J146" s="2"/>
      <c r="L146" s="142"/>
      <c r="AJ146" s="2"/>
    </row>
    <row r="147" ht="14.25" customHeight="1" spans="3:36" s="1" customFormat="1" x14ac:dyDescent="0.25">
      <c r="C147" s="2"/>
      <c r="F147" s="3"/>
      <c r="J147" s="2"/>
      <c r="L147" s="142"/>
      <c r="AJ147" s="2"/>
    </row>
    <row r="148" ht="14.25" customHeight="1" spans="3:36" s="1" customFormat="1" x14ac:dyDescent="0.25">
      <c r="C148" s="2"/>
      <c r="F148" s="3"/>
      <c r="J148" s="2"/>
      <c r="L148" s="142"/>
      <c r="AJ148" s="2"/>
    </row>
    <row r="149" ht="14.25" customHeight="1" spans="3:36" s="1" customFormat="1" x14ac:dyDescent="0.25">
      <c r="C149" s="2"/>
      <c r="F149" s="3"/>
      <c r="J149" s="2"/>
      <c r="L149" s="142"/>
      <c r="AJ149" s="2"/>
    </row>
    <row r="150" ht="14.25" customHeight="1" spans="3:36" s="1" customFormat="1" x14ac:dyDescent="0.25">
      <c r="C150" s="2"/>
      <c r="F150" s="3"/>
      <c r="J150" s="2"/>
      <c r="L150" s="142"/>
      <c r="AJ150" s="2"/>
    </row>
    <row r="151" ht="14.25" customHeight="1" spans="3:36" s="1" customFormat="1" x14ac:dyDescent="0.25">
      <c r="C151" s="2"/>
      <c r="F151" s="3"/>
      <c r="J151" s="2"/>
      <c r="L151" s="142"/>
      <c r="AJ151" s="2"/>
    </row>
    <row r="152" ht="14.25" customHeight="1" spans="3:36" s="1" customFormat="1" x14ac:dyDescent="0.25">
      <c r="C152" s="2"/>
      <c r="F152" s="3"/>
      <c r="J152" s="2"/>
      <c r="L152" s="142"/>
      <c r="AJ152" s="2"/>
    </row>
    <row r="153" ht="14.25" customHeight="1" spans="3:36" s="1" customFormat="1" x14ac:dyDescent="0.25">
      <c r="C153" s="2"/>
      <c r="F153" s="3"/>
      <c r="J153" s="2"/>
      <c r="L153" s="142"/>
      <c r="AJ153" s="2"/>
    </row>
    <row r="154" ht="14.25" customHeight="1" spans="3:36" s="1" customFormat="1" x14ac:dyDescent="0.25">
      <c r="C154" s="2"/>
      <c r="F154" s="3"/>
      <c r="J154" s="2"/>
      <c r="L154" s="142"/>
      <c r="AJ154" s="2"/>
    </row>
    <row r="155" ht="14.25" customHeight="1" spans="3:36" s="1" customFormat="1" x14ac:dyDescent="0.25">
      <c r="C155" s="2"/>
      <c r="F155" s="3"/>
      <c r="J155" s="2"/>
      <c r="L155" s="142"/>
      <c r="AJ155" s="2"/>
    </row>
    <row r="156" ht="14.25" customHeight="1" spans="3:36" s="1" customFormat="1" x14ac:dyDescent="0.25">
      <c r="C156" s="2"/>
      <c r="F156" s="3"/>
      <c r="J156" s="2"/>
      <c r="L156" s="142"/>
      <c r="AJ156" s="2"/>
    </row>
    <row r="157" ht="14.25" customHeight="1" spans="3:36" s="1" customFormat="1" x14ac:dyDescent="0.25">
      <c r="C157" s="2"/>
      <c r="F157" s="3"/>
      <c r="J157" s="2"/>
      <c r="L157" s="142"/>
      <c r="AJ157" s="2"/>
    </row>
    <row r="158" ht="14.25" customHeight="1" spans="3:36" s="1" customFormat="1" x14ac:dyDescent="0.25">
      <c r="C158" s="2"/>
      <c r="F158" s="3"/>
      <c r="J158" s="2"/>
      <c r="L158" s="142"/>
      <c r="AJ158" s="2"/>
    </row>
    <row r="159" ht="14.25" customHeight="1" spans="3:36" s="1" customFormat="1" x14ac:dyDescent="0.25">
      <c r="C159" s="2"/>
      <c r="F159" s="3"/>
      <c r="J159" s="2"/>
      <c r="L159" s="142"/>
      <c r="AJ159" s="2"/>
    </row>
    <row r="160" ht="14.25" customHeight="1" spans="3:36" s="1" customFormat="1" x14ac:dyDescent="0.25">
      <c r="C160" s="2"/>
      <c r="F160" s="3"/>
      <c r="J160" s="2"/>
      <c r="L160" s="142"/>
      <c r="AJ160" s="2"/>
    </row>
    <row r="161" ht="14.25" customHeight="1" spans="3:36" s="1" customFormat="1" x14ac:dyDescent="0.25">
      <c r="C161" s="2"/>
      <c r="F161" s="3"/>
      <c r="J161" s="2"/>
      <c r="L161" s="142"/>
      <c r="AJ161" s="2"/>
    </row>
    <row r="162" ht="14.25" customHeight="1" spans="3:36" s="1" customFormat="1" x14ac:dyDescent="0.25">
      <c r="C162" s="2"/>
      <c r="F162" s="3"/>
      <c r="J162" s="2"/>
      <c r="L162" s="142"/>
      <c r="AJ162" s="2"/>
    </row>
    <row r="163" ht="14.25" customHeight="1" spans="3:36" s="1" customFormat="1" x14ac:dyDescent="0.25">
      <c r="C163" s="2"/>
      <c r="F163" s="3"/>
      <c r="J163" s="2"/>
      <c r="L163" s="142"/>
      <c r="AJ163" s="2"/>
    </row>
    <row r="164" ht="14.25" customHeight="1" spans="3:36" s="1" customFormat="1" x14ac:dyDescent="0.25">
      <c r="C164" s="2"/>
      <c r="F164" s="3"/>
      <c r="J164" s="2"/>
      <c r="L164" s="142"/>
      <c r="AJ164" s="2"/>
    </row>
    <row r="165" ht="14.25" customHeight="1" spans="3:36" s="1" customFormat="1" x14ac:dyDescent="0.25">
      <c r="C165" s="2"/>
      <c r="F165" s="3"/>
      <c r="J165" s="2"/>
      <c r="L165" s="142"/>
      <c r="AJ165" s="2"/>
    </row>
    <row r="166" ht="14.25" customHeight="1" spans="3:36" s="1" customFormat="1" x14ac:dyDescent="0.25">
      <c r="C166" s="2"/>
      <c r="F166" s="3"/>
      <c r="J166" s="2"/>
      <c r="L166" s="142"/>
      <c r="AJ166" s="2"/>
    </row>
    <row r="167" ht="14.25" customHeight="1" spans="3:36" s="1" customFormat="1" x14ac:dyDescent="0.25">
      <c r="C167" s="2"/>
      <c r="F167" s="3"/>
      <c r="J167" s="2"/>
      <c r="L167" s="142"/>
      <c r="AJ167" s="2"/>
    </row>
    <row r="168" ht="14.25" customHeight="1" spans="3:36" s="1" customFormat="1" x14ac:dyDescent="0.25">
      <c r="C168" s="2"/>
      <c r="F168" s="3"/>
      <c r="J168" s="2"/>
      <c r="L168" s="142"/>
      <c r="AJ168" s="2"/>
    </row>
    <row r="169" ht="14.25" customHeight="1" spans="3:36" s="1" customFormat="1" x14ac:dyDescent="0.25">
      <c r="C169" s="2"/>
      <c r="F169" s="3"/>
      <c r="J169" s="2"/>
      <c r="L169" s="142"/>
      <c r="AJ169" s="2"/>
    </row>
    <row r="170" ht="14.25" customHeight="1" spans="3:36" s="1" customFormat="1" x14ac:dyDescent="0.25">
      <c r="C170" s="2"/>
      <c r="F170" s="3"/>
      <c r="J170" s="2"/>
      <c r="L170" s="142"/>
      <c r="AJ170" s="2"/>
    </row>
    <row r="171" ht="14.25" customHeight="1" spans="3:36" s="1" customFormat="1" x14ac:dyDescent="0.25">
      <c r="C171" s="2"/>
      <c r="F171" s="3"/>
      <c r="J171" s="2"/>
      <c r="L171" s="142"/>
      <c r="AJ171" s="2"/>
    </row>
    <row r="172" ht="14.25" customHeight="1" spans="3:36" s="1" customFormat="1" x14ac:dyDescent="0.25">
      <c r="C172" s="2"/>
      <c r="F172" s="3"/>
      <c r="J172" s="2"/>
      <c r="L172" s="142"/>
      <c r="AJ172" s="2"/>
    </row>
    <row r="173" ht="14.25" customHeight="1" spans="3:36" s="1" customFormat="1" x14ac:dyDescent="0.25">
      <c r="C173" s="2"/>
      <c r="F173" s="3"/>
      <c r="J173" s="2"/>
      <c r="L173" s="142"/>
      <c r="AJ173" s="2"/>
    </row>
    <row r="174" ht="14.25" customHeight="1" spans="3:36" s="1" customFormat="1" x14ac:dyDescent="0.25">
      <c r="C174" s="2"/>
      <c r="F174" s="3"/>
      <c r="J174" s="2"/>
      <c r="L174" s="142"/>
      <c r="AJ174" s="2"/>
    </row>
    <row r="175" ht="14.25" customHeight="1" spans="3:36" s="1" customFormat="1" x14ac:dyDescent="0.25">
      <c r="C175" s="2"/>
      <c r="F175" s="3"/>
      <c r="J175" s="2"/>
      <c r="L175" s="142"/>
      <c r="AJ175" s="2"/>
    </row>
    <row r="176" ht="14.25" customHeight="1" spans="3:36" s="1" customFormat="1" x14ac:dyDescent="0.25">
      <c r="C176" s="2"/>
      <c r="F176" s="3"/>
      <c r="J176" s="2"/>
      <c r="L176" s="142"/>
      <c r="AJ176" s="2"/>
    </row>
    <row r="177" ht="14.25" customHeight="1" spans="3:36" s="1" customFormat="1" x14ac:dyDescent="0.25">
      <c r="C177" s="2"/>
      <c r="F177" s="3"/>
      <c r="J177" s="2"/>
      <c r="L177" s="142"/>
      <c r="AJ177" s="2"/>
    </row>
    <row r="178" ht="14.25" customHeight="1" spans="3:36" s="1" customFormat="1" x14ac:dyDescent="0.25">
      <c r="C178" s="2"/>
      <c r="F178" s="3"/>
      <c r="J178" s="2"/>
      <c r="L178" s="142"/>
      <c r="AJ178" s="2"/>
    </row>
    <row r="179" ht="14.25" customHeight="1" spans="3:36" s="1" customFormat="1" x14ac:dyDescent="0.25">
      <c r="C179" s="2"/>
      <c r="F179" s="3"/>
      <c r="J179" s="2"/>
      <c r="L179" s="142"/>
      <c r="AJ179" s="2"/>
    </row>
    <row r="180" ht="14.25" customHeight="1" spans="3:36" s="1" customFormat="1" x14ac:dyDescent="0.25">
      <c r="C180" s="2"/>
      <c r="F180" s="3"/>
      <c r="J180" s="2"/>
      <c r="L180" s="142"/>
      <c r="AJ180" s="2"/>
    </row>
    <row r="181" ht="14.25" customHeight="1" spans="3:36" s="1" customFormat="1" x14ac:dyDescent="0.25">
      <c r="C181" s="2"/>
      <c r="F181" s="3"/>
      <c r="J181" s="2"/>
      <c r="L181" s="142"/>
      <c r="AJ181" s="2"/>
    </row>
    <row r="182" ht="14.25" customHeight="1" spans="3:36" s="1" customFormat="1" x14ac:dyDescent="0.25">
      <c r="C182" s="2"/>
      <c r="F182" s="3"/>
      <c r="J182" s="2"/>
      <c r="L182" s="142"/>
      <c r="AJ182" s="2"/>
    </row>
    <row r="183" ht="14.25" customHeight="1" spans="3:36" s="1" customFormat="1" x14ac:dyDescent="0.25">
      <c r="C183" s="2"/>
      <c r="F183" s="3"/>
      <c r="J183" s="2"/>
      <c r="L183" s="142"/>
      <c r="AJ183" s="2"/>
    </row>
    <row r="184" ht="14.25" customHeight="1" spans="3:36" s="1" customFormat="1" x14ac:dyDescent="0.25">
      <c r="C184" s="2"/>
      <c r="F184" s="3"/>
      <c r="J184" s="2"/>
      <c r="L184" s="142"/>
      <c r="AJ184" s="2"/>
    </row>
    <row r="185" ht="14.25" customHeight="1" spans="3:36" s="1" customFormat="1" x14ac:dyDescent="0.25">
      <c r="C185" s="2"/>
      <c r="F185" s="3"/>
      <c r="J185" s="2"/>
      <c r="L185" s="142"/>
      <c r="AJ185" s="2"/>
    </row>
    <row r="186" ht="14.25" customHeight="1" spans="3:36" s="1" customFormat="1" x14ac:dyDescent="0.25">
      <c r="C186" s="2"/>
      <c r="F186" s="3"/>
      <c r="J186" s="2"/>
      <c r="L186" s="142"/>
      <c r="AJ186" s="2"/>
    </row>
    <row r="187" ht="14.25" customHeight="1" spans="3:36" s="1" customFormat="1" x14ac:dyDescent="0.25">
      <c r="C187" s="2"/>
      <c r="F187" s="3"/>
      <c r="J187" s="2"/>
      <c r="L187" s="142"/>
      <c r="AJ187" s="2"/>
    </row>
    <row r="188" ht="14.25" customHeight="1" spans="3:36" s="1" customFormat="1" x14ac:dyDescent="0.25">
      <c r="C188" s="2"/>
      <c r="F188" s="3"/>
      <c r="J188" s="2"/>
      <c r="L188" s="142"/>
      <c r="AJ188" s="2"/>
    </row>
    <row r="189" ht="14.25" customHeight="1" spans="3:36" s="1" customFormat="1" x14ac:dyDescent="0.25">
      <c r="C189" s="2"/>
      <c r="F189" s="3"/>
      <c r="J189" s="2"/>
      <c r="L189" s="142"/>
      <c r="AJ189" s="2"/>
    </row>
    <row r="190" ht="14.25" customHeight="1" spans="3:36" s="1" customFormat="1" x14ac:dyDescent="0.25">
      <c r="C190" s="2"/>
      <c r="F190" s="3"/>
      <c r="J190" s="2"/>
      <c r="L190" s="142"/>
      <c r="AJ190" s="2"/>
    </row>
    <row r="191" ht="14.25" customHeight="1" spans="3:36" s="1" customFormat="1" x14ac:dyDescent="0.25">
      <c r="C191" s="2"/>
      <c r="F191" s="3"/>
      <c r="J191" s="2"/>
      <c r="L191" s="142"/>
      <c r="AJ191" s="2"/>
    </row>
    <row r="192" ht="14.25" customHeight="1" spans="3:36" s="1" customFormat="1" x14ac:dyDescent="0.25">
      <c r="C192" s="2"/>
      <c r="F192" s="3"/>
      <c r="J192" s="2"/>
      <c r="L192" s="142"/>
      <c r="AJ192" s="2"/>
    </row>
    <row r="193" ht="14.25" customHeight="1" spans="3:36" s="1" customFormat="1" x14ac:dyDescent="0.25">
      <c r="C193" s="2"/>
      <c r="F193" s="3"/>
      <c r="J193" s="2"/>
      <c r="L193" s="142"/>
      <c r="AJ193" s="2"/>
    </row>
    <row r="194" ht="14.25" customHeight="1" spans="3:36" s="1" customFormat="1" x14ac:dyDescent="0.25">
      <c r="C194" s="2"/>
      <c r="F194" s="3"/>
      <c r="J194" s="2"/>
      <c r="L194" s="142"/>
      <c r="AJ194" s="2"/>
    </row>
    <row r="195" ht="14.25" customHeight="1" spans="3:36" s="1" customFormat="1" x14ac:dyDescent="0.25">
      <c r="C195" s="2"/>
      <c r="F195" s="3"/>
      <c r="J195" s="2"/>
      <c r="L195" s="142"/>
      <c r="AJ195" s="2"/>
    </row>
    <row r="196" ht="14.25" customHeight="1" spans="3:36" s="1" customFormat="1" x14ac:dyDescent="0.25">
      <c r="C196" s="2"/>
      <c r="F196" s="3"/>
      <c r="J196" s="2"/>
      <c r="L196" s="142"/>
      <c r="AJ196" s="2"/>
    </row>
    <row r="197" ht="14.25" customHeight="1" spans="3:36" s="1" customFormat="1" x14ac:dyDescent="0.25">
      <c r="C197" s="2"/>
      <c r="F197" s="3"/>
      <c r="J197" s="2"/>
      <c r="L197" s="142"/>
      <c r="AJ197" s="2"/>
    </row>
    <row r="198" ht="14.25" customHeight="1" spans="3:36" s="1" customFormat="1" x14ac:dyDescent="0.25">
      <c r="C198" s="2"/>
      <c r="F198" s="3"/>
      <c r="J198" s="2"/>
      <c r="L198" s="142"/>
      <c r="AJ198" s="2"/>
    </row>
    <row r="199" ht="14.25" customHeight="1" spans="3:36" s="1" customFormat="1" x14ac:dyDescent="0.25">
      <c r="C199" s="2"/>
      <c r="F199" s="3"/>
      <c r="J199" s="2"/>
      <c r="L199" s="142"/>
      <c r="AJ199" s="2"/>
    </row>
    <row r="200" ht="14.25" customHeight="1" spans="3:36" s="1" customFormat="1" x14ac:dyDescent="0.25">
      <c r="C200" s="2"/>
      <c r="F200" s="3"/>
      <c r="J200" s="2"/>
      <c r="L200" s="142"/>
      <c r="AJ200" s="2"/>
    </row>
    <row r="201" ht="14.25" customHeight="1" spans="3:36" s="1" customFormat="1" x14ac:dyDescent="0.25">
      <c r="C201" s="2"/>
      <c r="F201" s="3"/>
      <c r="J201" s="2"/>
      <c r="L201" s="142"/>
      <c r="AJ201" s="2"/>
    </row>
    <row r="202" ht="14.25" customHeight="1" spans="3:36" s="1" customFormat="1" x14ac:dyDescent="0.25">
      <c r="C202" s="2"/>
      <c r="F202" s="3"/>
      <c r="J202" s="2"/>
      <c r="L202" s="142"/>
      <c r="AJ202" s="2"/>
    </row>
    <row r="203" ht="14.25" customHeight="1" spans="3:36" s="1" customFormat="1" x14ac:dyDescent="0.25">
      <c r="C203" s="2"/>
      <c r="F203" s="3"/>
      <c r="J203" s="2"/>
      <c r="L203" s="142"/>
      <c r="AJ203" s="2"/>
    </row>
    <row r="204" ht="14.25" customHeight="1" spans="3:36" s="1" customFormat="1" x14ac:dyDescent="0.25">
      <c r="C204" s="2"/>
      <c r="F204" s="3"/>
      <c r="J204" s="2"/>
      <c r="L204" s="142"/>
      <c r="AJ204" s="2"/>
    </row>
    <row r="205" ht="14.25" customHeight="1" spans="3:36" s="1" customFormat="1" x14ac:dyDescent="0.25">
      <c r="C205" s="2"/>
      <c r="F205" s="3"/>
      <c r="J205" s="2"/>
      <c r="L205" s="142"/>
      <c r="AJ205" s="2"/>
    </row>
    <row r="206" ht="14.25" customHeight="1" spans="3:36" s="1" customFormat="1" x14ac:dyDescent="0.25">
      <c r="C206" s="2"/>
      <c r="F206" s="3"/>
      <c r="J206" s="2"/>
      <c r="L206" s="142"/>
      <c r="AJ206" s="2"/>
    </row>
    <row r="207" ht="14.25" customHeight="1" spans="3:36" s="1" customFormat="1" x14ac:dyDescent="0.25">
      <c r="C207" s="2"/>
      <c r="F207" s="3"/>
      <c r="J207" s="2"/>
      <c r="L207" s="142"/>
      <c r="AJ207" s="2"/>
    </row>
    <row r="208" ht="14.25" customHeight="1" spans="3:36" s="1" customFormat="1" x14ac:dyDescent="0.25">
      <c r="C208" s="2"/>
      <c r="F208" s="3"/>
      <c r="J208" s="2"/>
      <c r="L208" s="142"/>
      <c r="AJ208" s="2"/>
    </row>
    <row r="209" ht="14.25" customHeight="1" spans="3:36" s="1" customFormat="1" x14ac:dyDescent="0.25">
      <c r="C209" s="2"/>
      <c r="F209" s="3"/>
      <c r="J209" s="2"/>
      <c r="L209" s="142"/>
      <c r="AJ209" s="2"/>
    </row>
    <row r="210" ht="14.25" customHeight="1" spans="3:36" s="1" customFormat="1" x14ac:dyDescent="0.25">
      <c r="C210" s="2"/>
      <c r="F210" s="3"/>
      <c r="J210" s="2"/>
      <c r="L210" s="142"/>
      <c r="AJ210" s="2"/>
    </row>
    <row r="211" ht="14.25" customHeight="1" spans="3:36" s="1" customFormat="1" x14ac:dyDescent="0.25">
      <c r="C211" s="2"/>
      <c r="F211" s="3"/>
      <c r="J211" s="2"/>
      <c r="L211" s="142"/>
      <c r="AJ211" s="2"/>
    </row>
    <row r="212" ht="14.25" customHeight="1" spans="3:36" s="1" customFormat="1" x14ac:dyDescent="0.25">
      <c r="C212" s="2"/>
      <c r="F212" s="3"/>
      <c r="J212" s="2"/>
      <c r="L212" s="142"/>
      <c r="AJ212" s="2"/>
    </row>
    <row r="213" ht="14.25" customHeight="1" spans="3:36" s="1" customFormat="1" x14ac:dyDescent="0.25">
      <c r="C213" s="2"/>
      <c r="F213" s="3"/>
      <c r="J213" s="2"/>
      <c r="L213" s="142"/>
      <c r="AJ213" s="2"/>
    </row>
    <row r="214" ht="14.25" customHeight="1" spans="3:36" s="1" customFormat="1" x14ac:dyDescent="0.25">
      <c r="C214" s="2"/>
      <c r="F214" s="3"/>
      <c r="J214" s="2"/>
      <c r="L214" s="142"/>
      <c r="AJ214" s="2"/>
    </row>
    <row r="215" ht="14.25" customHeight="1" spans="3:36" s="1" customFormat="1" x14ac:dyDescent="0.25">
      <c r="C215" s="2"/>
      <c r="F215" s="3"/>
      <c r="J215" s="2"/>
      <c r="L215" s="142"/>
      <c r="AJ215" s="2"/>
    </row>
    <row r="216" ht="14.25" customHeight="1" spans="3:36" s="1" customFormat="1" x14ac:dyDescent="0.25">
      <c r="C216" s="2"/>
      <c r="F216" s="3"/>
      <c r="J216" s="2"/>
      <c r="L216" s="142"/>
      <c r="AJ216" s="2"/>
    </row>
    <row r="217" ht="14.25" customHeight="1" spans="3:36" s="1" customFormat="1" x14ac:dyDescent="0.25">
      <c r="C217" s="2"/>
      <c r="F217" s="3"/>
      <c r="J217" s="2"/>
      <c r="L217" s="142"/>
      <c r="AJ217" s="2"/>
    </row>
    <row r="218" ht="14.25" customHeight="1" spans="3:36" s="1" customFormat="1" x14ac:dyDescent="0.25">
      <c r="C218" s="2"/>
      <c r="F218" s="3"/>
      <c r="J218" s="2"/>
      <c r="L218" s="142"/>
      <c r="AJ218" s="2"/>
    </row>
    <row r="219" ht="14.25" customHeight="1" spans="3:36" s="1" customFormat="1" x14ac:dyDescent="0.25">
      <c r="C219" s="2"/>
      <c r="F219" s="3"/>
      <c r="J219" s="2"/>
      <c r="L219" s="142"/>
      <c r="AJ219" s="2"/>
    </row>
    <row r="220" ht="14.25" customHeight="1" spans="3:36" s="1" customFormat="1" x14ac:dyDescent="0.25">
      <c r="C220" s="2"/>
      <c r="F220" s="3"/>
      <c r="J220" s="2"/>
      <c r="L220" s="142"/>
      <c r="AJ220" s="2"/>
    </row>
    <row r="221" ht="14.25" customHeight="1" spans="3:36" s="1" customFormat="1" x14ac:dyDescent="0.25">
      <c r="C221" s="2"/>
      <c r="F221" s="3"/>
      <c r="J221" s="2"/>
      <c r="L221" s="142"/>
      <c r="AJ221" s="2"/>
    </row>
    <row r="222" ht="14.25" customHeight="1" spans="3:36" s="1" customFormat="1" x14ac:dyDescent="0.25">
      <c r="C222" s="2"/>
      <c r="F222" s="3"/>
      <c r="J222" s="2"/>
      <c r="L222" s="142"/>
      <c r="AJ222" s="2"/>
    </row>
    <row r="223" ht="14.25" customHeight="1" spans="3:36" s="1" customFormat="1" x14ac:dyDescent="0.25">
      <c r="C223" s="2"/>
      <c r="F223" s="3"/>
      <c r="J223" s="2"/>
      <c r="L223" s="142"/>
      <c r="AJ223" s="2"/>
    </row>
    <row r="224" ht="14.25" customHeight="1" spans="3:36" s="1" customFormat="1" x14ac:dyDescent="0.25">
      <c r="C224" s="2"/>
      <c r="F224" s="3"/>
      <c r="J224" s="2"/>
      <c r="L224" s="142"/>
      <c r="AJ224" s="2"/>
    </row>
    <row r="225" ht="14.25" customHeight="1" spans="12:12" x14ac:dyDescent="0.25">
      <c r="L225" s="142"/>
    </row>
    <row r="226" ht="14.25" customHeight="1" spans="12:12" x14ac:dyDescent="0.25">
      <c r="L226" s="142"/>
    </row>
    <row r="227" ht="14.25" customHeight="1" spans="12:12" x14ac:dyDescent="0.25">
      <c r="L227" s="142"/>
    </row>
    <row r="228" ht="14.25" customHeight="1" spans="12:12" x14ac:dyDescent="0.25">
      <c r="L228" s="142"/>
    </row>
    <row r="229" ht="14.25" customHeight="1" spans="12:12" x14ac:dyDescent="0.25">
      <c r="L229" s="142"/>
    </row>
    <row r="230" ht="14.25" customHeight="1" spans="12:12" x14ac:dyDescent="0.25">
      <c r="L230" s="142"/>
    </row>
    <row r="231" ht="14.25" customHeight="1" spans="12:12" x14ac:dyDescent="0.25">
      <c r="L231" s="142"/>
    </row>
    <row r="232" ht="14.25" customHeight="1" spans="12:12" x14ac:dyDescent="0.25">
      <c r="L232" s="142"/>
    </row>
    <row r="233" ht="14.25" customHeight="1" spans="12:12" x14ac:dyDescent="0.25">
      <c r="L233" s="142"/>
    </row>
    <row r="234" ht="14.25" customHeight="1" spans="12:12" x14ac:dyDescent="0.25">
      <c r="L234" s="142"/>
    </row>
    <row r="235" ht="14.25" customHeight="1" spans="12:12" x14ac:dyDescent="0.25">
      <c r="L235" s="142"/>
    </row>
    <row r="236" ht="14.25" customHeight="1" spans="12:12" x14ac:dyDescent="0.25">
      <c r="L236" s="142"/>
    </row>
    <row r="237" ht="14.25" customHeight="1" spans="12:12" x14ac:dyDescent="0.25">
      <c r="L237" s="142"/>
    </row>
    <row r="238" ht="14.25" customHeight="1" spans="12:12" x14ac:dyDescent="0.25">
      <c r="L238" s="142"/>
    </row>
    <row r="239" ht="14.25" customHeight="1" spans="12:12" x14ac:dyDescent="0.25">
      <c r="L239" s="142"/>
    </row>
    <row r="240" ht="14.25" customHeight="1" spans="12:12" x14ac:dyDescent="0.25">
      <c r="L240" s="142"/>
    </row>
    <row r="241" ht="14.25" customHeight="1" spans="12:12" x14ac:dyDescent="0.25">
      <c r="L241" s="142"/>
    </row>
    <row r="242" ht="14.25" customHeight="1" spans="12:12" x14ac:dyDescent="0.25">
      <c r="L242" s="142"/>
    </row>
    <row r="243" ht="14.25" customHeight="1" spans="12:12" x14ac:dyDescent="0.25">
      <c r="L243" s="142"/>
    </row>
    <row r="244" ht="14.25" customHeight="1" spans="12:12" x14ac:dyDescent="0.25">
      <c r="L244" s="142"/>
    </row>
    <row r="245" ht="14.25" customHeight="1" spans="12:12" x14ac:dyDescent="0.25">
      <c r="L245" s="142"/>
    </row>
    <row r="246" ht="14.25" customHeight="1" spans="12:12" x14ac:dyDescent="0.25">
      <c r="L246" s="142"/>
    </row>
    <row r="247" ht="14.25" customHeight="1" spans="12:12" x14ac:dyDescent="0.25">
      <c r="L247" s="142"/>
    </row>
    <row r="248" ht="14.25" customHeight="1" spans="12:12" x14ac:dyDescent="0.25">
      <c r="L248" s="142"/>
    </row>
    <row r="249" ht="14.25" customHeight="1" spans="12:12" x14ac:dyDescent="0.25">
      <c r="L249" s="142"/>
    </row>
    <row r="250" ht="14.25" customHeight="1" spans="12:12" x14ac:dyDescent="0.25">
      <c r="L250" s="142"/>
    </row>
    <row r="251" ht="14.25" customHeight="1" spans="12:12" x14ac:dyDescent="0.25">
      <c r="L251" s="142"/>
    </row>
    <row r="252" ht="14.25" customHeight="1" spans="12:12" x14ac:dyDescent="0.25">
      <c r="L252" s="142"/>
    </row>
    <row r="253" ht="14.25" customHeight="1" spans="12:12" x14ac:dyDescent="0.25">
      <c r="L253" s="142"/>
    </row>
    <row r="254" ht="14.25" customHeight="1" spans="12:12" x14ac:dyDescent="0.25">
      <c r="L254" s="142"/>
    </row>
    <row r="255" ht="14.25" customHeight="1" spans="12:12" x14ac:dyDescent="0.25">
      <c r="L255" s="142"/>
    </row>
    <row r="256" ht="14.25" customHeight="1" spans="12:12" x14ac:dyDescent="0.25">
      <c r="L256" s="142"/>
    </row>
    <row r="257" ht="14.25" customHeight="1" spans="12:12" x14ac:dyDescent="0.25">
      <c r="L257" s="142"/>
    </row>
    <row r="258" ht="14.25" customHeight="1" spans="12:12" x14ac:dyDescent="0.25">
      <c r="L258" s="142"/>
    </row>
    <row r="259" ht="14.25" customHeight="1" spans="12:12" x14ac:dyDescent="0.25">
      <c r="L259" s="142"/>
    </row>
    <row r="260" ht="14.25" customHeight="1" spans="12:12" x14ac:dyDescent="0.25">
      <c r="L260" s="142"/>
    </row>
    <row r="261" ht="14.25" customHeight="1" spans="12:12" x14ac:dyDescent="0.25">
      <c r="L261" s="142"/>
    </row>
    <row r="262" ht="14.25" customHeight="1" spans="12:12" x14ac:dyDescent="0.25">
      <c r="L262" s="142"/>
    </row>
    <row r="263" ht="14.25" customHeight="1" spans="12:12" x14ac:dyDescent="0.25">
      <c r="L263" s="142"/>
    </row>
    <row r="264" ht="14.25" customHeight="1" spans="12:12" x14ac:dyDescent="0.25">
      <c r="L264" s="142"/>
    </row>
    <row r="265" ht="14.25" customHeight="1" spans="12:12" x14ac:dyDescent="0.25">
      <c r="L265" s="142"/>
    </row>
    <row r="266" ht="14.25" customHeight="1" spans="12:12" x14ac:dyDescent="0.25">
      <c r="L266" s="142"/>
    </row>
    <row r="267" ht="14.25" customHeight="1" spans="12:12" x14ac:dyDescent="0.25">
      <c r="L267" s="142"/>
    </row>
    <row r="268" ht="14.25" customHeight="1" spans="12:12" x14ac:dyDescent="0.25">
      <c r="L268" s="142"/>
    </row>
    <row r="269" ht="14.25" customHeight="1" spans="12:12" x14ac:dyDescent="0.25">
      <c r="L269" s="142"/>
    </row>
    <row r="270" ht="14.25" customHeight="1" spans="12:12" x14ac:dyDescent="0.25">
      <c r="L270" s="142"/>
    </row>
    <row r="271" ht="14.25" customHeight="1" spans="12:12" x14ac:dyDescent="0.25">
      <c r="L271" s="142"/>
    </row>
    <row r="272" ht="14.25" customHeight="1" spans="12:12" x14ac:dyDescent="0.25">
      <c r="L272" s="142"/>
    </row>
    <row r="273" ht="14.25" customHeight="1" spans="12:12" x14ac:dyDescent="0.25">
      <c r="L273" s="142"/>
    </row>
    <row r="274" ht="14.25" customHeight="1" spans="12:12" x14ac:dyDescent="0.25">
      <c r="L274" s="142"/>
    </row>
    <row r="275" ht="14.25" customHeight="1" spans="12:12" x14ac:dyDescent="0.25">
      <c r="L275" s="142"/>
    </row>
    <row r="276" ht="14.25" customHeight="1" spans="12:12" x14ac:dyDescent="0.25">
      <c r="L276" s="142"/>
    </row>
    <row r="277" ht="14.25" customHeight="1" spans="12:12" x14ac:dyDescent="0.25">
      <c r="L277" s="142"/>
    </row>
    <row r="278" ht="14.25" customHeight="1" spans="12:12" x14ac:dyDescent="0.25">
      <c r="L278" s="142"/>
    </row>
    <row r="279" ht="14.25" customHeight="1" spans="12:12" x14ac:dyDescent="0.25">
      <c r="L279" s="142"/>
    </row>
    <row r="280" ht="14.25" customHeight="1" spans="12:12" x14ac:dyDescent="0.25">
      <c r="L280" s="142"/>
    </row>
    <row r="281" ht="14.25" customHeight="1" spans="12:12" x14ac:dyDescent="0.25">
      <c r="L281" s="142"/>
    </row>
    <row r="282" ht="14.25" customHeight="1" spans="12:12" x14ac:dyDescent="0.25">
      <c r="L282" s="142"/>
    </row>
    <row r="283" ht="14.25" customHeight="1" spans="12:12" x14ac:dyDescent="0.25">
      <c r="L283" s="142"/>
    </row>
    <row r="284" ht="14.25" customHeight="1" spans="12:12" x14ac:dyDescent="0.25">
      <c r="L284" s="142"/>
    </row>
    <row r="285" ht="14.25" customHeight="1" spans="12:12" x14ac:dyDescent="0.25">
      <c r="L285" s="142"/>
    </row>
    <row r="286" ht="14.25" customHeight="1" spans="12:12" x14ac:dyDescent="0.25">
      <c r="L286" s="142"/>
    </row>
    <row r="287" ht="14.25" customHeight="1" spans="12:12" x14ac:dyDescent="0.25">
      <c r="L287" s="142"/>
    </row>
    <row r="288" ht="14.25" customHeight="1" spans="12:12" x14ac:dyDescent="0.25">
      <c r="L288" s="142"/>
    </row>
    <row r="289" ht="14.25" customHeight="1" spans="12:12" x14ac:dyDescent="0.25">
      <c r="L289" s="142"/>
    </row>
    <row r="290" ht="14.25" customHeight="1" spans="12:12" x14ac:dyDescent="0.25">
      <c r="L290" s="142"/>
    </row>
    <row r="291" ht="14.25" customHeight="1" spans="12:12" x14ac:dyDescent="0.25">
      <c r="L291" s="142"/>
    </row>
    <row r="292" ht="14.25" customHeight="1" spans="12:12" x14ac:dyDescent="0.25">
      <c r="L292" s="142"/>
    </row>
    <row r="293" ht="14.25" customHeight="1" spans="12:12" x14ac:dyDescent="0.25">
      <c r="L293" s="142"/>
    </row>
    <row r="294" ht="14.25" customHeight="1" spans="12:12" x14ac:dyDescent="0.25">
      <c r="L294" s="142"/>
    </row>
    <row r="295" ht="14.25" customHeight="1" spans="12:12" x14ac:dyDescent="0.25">
      <c r="L295" s="142"/>
    </row>
    <row r="296" ht="14.25" customHeight="1" spans="12:12" x14ac:dyDescent="0.25">
      <c r="L296" s="142"/>
    </row>
    <row r="297" ht="14.25" customHeight="1" spans="12:12" x14ac:dyDescent="0.25">
      <c r="L297" s="142"/>
    </row>
    <row r="298" ht="14.25" customHeight="1" spans="12:12" x14ac:dyDescent="0.25">
      <c r="L298" s="142"/>
    </row>
    <row r="299" ht="14.25" customHeight="1" spans="12:12" x14ac:dyDescent="0.25">
      <c r="L299" s="142"/>
    </row>
    <row r="300" ht="14.25" customHeight="1" spans="12:12" x14ac:dyDescent="0.25">
      <c r="L300" s="142"/>
    </row>
    <row r="301" ht="14.25" customHeight="1" spans="12:12" x14ac:dyDescent="0.25">
      <c r="L301" s="142"/>
    </row>
    <row r="302" ht="14.25" customHeight="1" spans="12:12" x14ac:dyDescent="0.25">
      <c r="L302" s="142"/>
    </row>
    <row r="303" ht="14.25" customHeight="1" spans="12:12" x14ac:dyDescent="0.25">
      <c r="L303" s="142"/>
    </row>
    <row r="304" ht="14.25" customHeight="1" spans="12:12" x14ac:dyDescent="0.25">
      <c r="L304" s="142"/>
    </row>
    <row r="305" ht="14.25" customHeight="1" spans="12:12" x14ac:dyDescent="0.25">
      <c r="L305" s="142"/>
    </row>
    <row r="306" ht="14.25" customHeight="1" spans="12:12" x14ac:dyDescent="0.25">
      <c r="L306" s="142"/>
    </row>
    <row r="307" ht="14.25" customHeight="1" spans="12:12" x14ac:dyDescent="0.25">
      <c r="L307" s="142"/>
    </row>
    <row r="308" ht="14.25" customHeight="1" spans="12:12" x14ac:dyDescent="0.25">
      <c r="L308" s="142"/>
    </row>
    <row r="309" ht="14.25" customHeight="1" spans="12:12" x14ac:dyDescent="0.25">
      <c r="L309" s="142"/>
    </row>
    <row r="310" ht="14.25" customHeight="1" spans="12:12" x14ac:dyDescent="0.25">
      <c r="L310" s="142"/>
    </row>
    <row r="311" ht="14.25" customHeight="1" spans="12:12" x14ac:dyDescent="0.25">
      <c r="L311" s="142"/>
    </row>
    <row r="312" ht="14.25" customHeight="1" spans="12:12" x14ac:dyDescent="0.25">
      <c r="L312" s="142"/>
    </row>
    <row r="313" ht="14.25" customHeight="1" spans="12:12" x14ac:dyDescent="0.25">
      <c r="L313" s="142"/>
    </row>
    <row r="314" ht="14.25" customHeight="1" spans="12:12" x14ac:dyDescent="0.25">
      <c r="L314" s="142"/>
    </row>
    <row r="315" ht="14.25" customHeight="1" spans="12:12" x14ac:dyDescent="0.25">
      <c r="L315" s="142"/>
    </row>
    <row r="316" ht="14.25" customHeight="1" spans="12:12" x14ac:dyDescent="0.25">
      <c r="L316" s="142"/>
    </row>
    <row r="317" ht="14.25" customHeight="1" spans="12:12" x14ac:dyDescent="0.25">
      <c r="L317" s="142"/>
    </row>
    <row r="318" ht="14.25" customHeight="1" spans="12:12" x14ac:dyDescent="0.25">
      <c r="L318" s="142"/>
    </row>
    <row r="319" ht="14.25" customHeight="1" spans="12:12" x14ac:dyDescent="0.25">
      <c r="L319" s="142"/>
    </row>
    <row r="320" ht="14.25" customHeight="1" spans="12:12" x14ac:dyDescent="0.25">
      <c r="L320" s="142"/>
    </row>
    <row r="321" ht="14.25" customHeight="1" spans="12:12" x14ac:dyDescent="0.25">
      <c r="L321" s="142"/>
    </row>
    <row r="322" ht="14.25" customHeight="1" spans="12:12" x14ac:dyDescent="0.25">
      <c r="L322" s="142"/>
    </row>
    <row r="323" ht="14.25" customHeight="1" spans="12:12" x14ac:dyDescent="0.25">
      <c r="L323" s="142"/>
    </row>
    <row r="324" ht="14.25" customHeight="1" spans="12:12" x14ac:dyDescent="0.25">
      <c r="L324" s="142"/>
    </row>
    <row r="325" ht="14.25" customHeight="1" spans="12:12" x14ac:dyDescent="0.25">
      <c r="L325" s="142"/>
    </row>
    <row r="326" ht="14.25" customHeight="1" spans="12:12" x14ac:dyDescent="0.25">
      <c r="L326" s="142"/>
    </row>
    <row r="327" ht="14.25" customHeight="1" spans="12:12" x14ac:dyDescent="0.25">
      <c r="L327" s="142"/>
    </row>
    <row r="328" ht="14.25" customHeight="1" spans="12:12" x14ac:dyDescent="0.25">
      <c r="L328" s="142"/>
    </row>
    <row r="329" ht="14.25" customHeight="1" spans="12:12" x14ac:dyDescent="0.25">
      <c r="L329" s="142"/>
    </row>
    <row r="330" ht="14.25" customHeight="1" spans="12:12" x14ac:dyDescent="0.25">
      <c r="L330" s="142"/>
    </row>
    <row r="331" ht="14.25" customHeight="1" spans="12:12" x14ac:dyDescent="0.25">
      <c r="L331" s="142"/>
    </row>
    <row r="332" ht="14.25" customHeight="1" spans="12:12" x14ac:dyDescent="0.25">
      <c r="L332" s="142"/>
    </row>
    <row r="333" ht="14.25" customHeight="1" spans="12:12" x14ac:dyDescent="0.25">
      <c r="L333" s="142"/>
    </row>
    <row r="334" ht="14.25" customHeight="1" spans="12:12" x14ac:dyDescent="0.25">
      <c r="L334" s="142"/>
    </row>
    <row r="335" ht="14.25" customHeight="1" spans="12:12" x14ac:dyDescent="0.25">
      <c r="L335" s="142"/>
    </row>
    <row r="336" ht="14.25" customHeight="1" spans="12:12" x14ac:dyDescent="0.25">
      <c r="L336" s="142"/>
    </row>
    <row r="337" ht="14.25" customHeight="1" spans="12:12" x14ac:dyDescent="0.25">
      <c r="L337" s="142"/>
    </row>
    <row r="338" ht="14.25" customHeight="1" spans="12:12" x14ac:dyDescent="0.25">
      <c r="L338" s="142"/>
    </row>
    <row r="339" ht="14.25" customHeight="1" spans="12:12" x14ac:dyDescent="0.25">
      <c r="L339" s="142"/>
    </row>
    <row r="340" ht="14.25" customHeight="1" spans="12:12" x14ac:dyDescent="0.25">
      <c r="L340" s="142"/>
    </row>
    <row r="341" ht="14.25" customHeight="1" spans="12:12" x14ac:dyDescent="0.25">
      <c r="L341" s="142"/>
    </row>
    <row r="342" ht="14.25" customHeight="1" spans="12:12" x14ac:dyDescent="0.25">
      <c r="L342" s="142"/>
    </row>
    <row r="343" ht="14.25" customHeight="1" spans="12:12" x14ac:dyDescent="0.25">
      <c r="L343" s="142"/>
    </row>
    <row r="344" ht="14.25" customHeight="1" spans="12:12" x14ac:dyDescent="0.25">
      <c r="L344" s="142"/>
    </row>
    <row r="345" ht="14.25" customHeight="1" spans="12:12" x14ac:dyDescent="0.25">
      <c r="L345" s="142"/>
    </row>
    <row r="346" ht="14.25" customHeight="1" spans="12:12" x14ac:dyDescent="0.25">
      <c r="L346" s="142"/>
    </row>
    <row r="347" ht="14.25" customHeight="1" spans="12:12" x14ac:dyDescent="0.25">
      <c r="L347" s="142"/>
    </row>
    <row r="348" ht="14.25" customHeight="1" spans="12:12" x14ac:dyDescent="0.25">
      <c r="L348" s="142"/>
    </row>
    <row r="349" ht="14.25" customHeight="1" spans="12:12" x14ac:dyDescent="0.25">
      <c r="L349" s="142"/>
    </row>
    <row r="350" ht="14.25" customHeight="1" spans="12:12" x14ac:dyDescent="0.25">
      <c r="L350" s="142"/>
    </row>
    <row r="351" ht="14.25" customHeight="1" spans="12:12" x14ac:dyDescent="0.25">
      <c r="L351" s="142"/>
    </row>
    <row r="352" ht="14.25" customHeight="1" spans="12:12" x14ac:dyDescent="0.25">
      <c r="L352" s="142"/>
    </row>
    <row r="353" ht="14.25" customHeight="1" spans="12:12" x14ac:dyDescent="0.25">
      <c r="L353" s="142"/>
    </row>
    <row r="354" ht="14.25" customHeight="1" spans="12:12" x14ac:dyDescent="0.25">
      <c r="L354" s="142"/>
    </row>
    <row r="355" ht="14.25" customHeight="1" spans="12:12" x14ac:dyDescent="0.25">
      <c r="L355" s="142"/>
    </row>
    <row r="356" ht="14.25" customHeight="1" spans="12:12" x14ac:dyDescent="0.25">
      <c r="L356" s="142"/>
    </row>
    <row r="357" ht="14.25" customHeight="1" spans="12:12" x14ac:dyDescent="0.25">
      <c r="L357" s="142"/>
    </row>
    <row r="358" ht="14.25" customHeight="1" spans="12:12" x14ac:dyDescent="0.25">
      <c r="L358" s="142"/>
    </row>
    <row r="359" ht="14.25" customHeight="1" spans="12:12" x14ac:dyDescent="0.25">
      <c r="L359" s="142"/>
    </row>
    <row r="360" ht="14.25" customHeight="1" spans="12:12" x14ac:dyDescent="0.25">
      <c r="L360" s="142"/>
    </row>
    <row r="361" ht="14.25" customHeight="1" spans="12:12" x14ac:dyDescent="0.25">
      <c r="L361" s="142"/>
    </row>
    <row r="362" ht="14.25" customHeight="1" spans="12:12" x14ac:dyDescent="0.25">
      <c r="L362" s="142"/>
    </row>
    <row r="363" ht="14.25" customHeight="1" spans="12:12" x14ac:dyDescent="0.25">
      <c r="L363" s="142"/>
    </row>
    <row r="364" ht="14.25" customHeight="1" spans="12:12" x14ac:dyDescent="0.25">
      <c r="L364" s="142"/>
    </row>
    <row r="365" ht="14.25" customHeight="1" spans="12:12" x14ac:dyDescent="0.25">
      <c r="L365" s="142"/>
    </row>
    <row r="366" ht="14.25" customHeight="1" spans="12:12" x14ac:dyDescent="0.25">
      <c r="L366" s="142"/>
    </row>
    <row r="367" ht="14.25" customHeight="1" spans="12:12" x14ac:dyDescent="0.25">
      <c r="L367" s="142"/>
    </row>
    <row r="368" ht="14.25" customHeight="1" spans="12:12" x14ac:dyDescent="0.25">
      <c r="L368" s="142"/>
    </row>
    <row r="369" ht="14.25" customHeight="1" spans="12:12" x14ac:dyDescent="0.25">
      <c r="L369" s="142"/>
    </row>
    <row r="370" ht="14.25" customHeight="1" spans="12:12" x14ac:dyDescent="0.25">
      <c r="L370" s="142"/>
    </row>
    <row r="371" ht="14.25" customHeight="1" spans="12:12" x14ac:dyDescent="0.25">
      <c r="L371" s="142"/>
    </row>
    <row r="372" ht="14.25" customHeight="1" spans="12:12" x14ac:dyDescent="0.25">
      <c r="L372" s="142"/>
    </row>
    <row r="373" ht="14.25" customHeight="1" spans="12:12" x14ac:dyDescent="0.25">
      <c r="L373" s="142"/>
    </row>
    <row r="374" ht="14.25" customHeight="1" spans="12:12" x14ac:dyDescent="0.25">
      <c r="L374" s="142"/>
    </row>
    <row r="375" ht="14.25" customHeight="1" spans="12:12" x14ac:dyDescent="0.25">
      <c r="L375" s="142"/>
    </row>
    <row r="376" ht="14.25" customHeight="1" spans="12:12" x14ac:dyDescent="0.25">
      <c r="L376" s="142"/>
    </row>
    <row r="377" ht="14.25" customHeight="1" spans="12:12" x14ac:dyDescent="0.25">
      <c r="L377" s="142"/>
    </row>
    <row r="378" ht="14.25" customHeight="1" spans="12:12" x14ac:dyDescent="0.25">
      <c r="L378" s="142"/>
    </row>
    <row r="379" ht="14.25" customHeight="1" spans="12:12" x14ac:dyDescent="0.25">
      <c r="L379" s="142"/>
    </row>
    <row r="380" ht="14.25" customHeight="1" spans="12:12" x14ac:dyDescent="0.25">
      <c r="L380" s="142"/>
    </row>
    <row r="381" ht="14.25" customHeight="1" spans="12:12" x14ac:dyDescent="0.25">
      <c r="L381" s="142"/>
    </row>
    <row r="382" ht="14.25" customHeight="1" spans="12:12" x14ac:dyDescent="0.25">
      <c r="L382" s="142"/>
    </row>
    <row r="383" ht="14.25" customHeight="1" spans="12:12" x14ac:dyDescent="0.25">
      <c r="L383" s="142"/>
    </row>
    <row r="384" ht="14.25" customHeight="1" spans="12:12" x14ac:dyDescent="0.25">
      <c r="L384" s="142"/>
    </row>
    <row r="385" ht="14.25" customHeight="1" spans="12:12" x14ac:dyDescent="0.25">
      <c r="L385" s="142"/>
    </row>
    <row r="386" ht="14.25" customHeight="1" spans="12:12" x14ac:dyDescent="0.25">
      <c r="L386" s="142"/>
    </row>
    <row r="387" ht="14.25" customHeight="1" spans="12:12" x14ac:dyDescent="0.25">
      <c r="L387" s="142"/>
    </row>
    <row r="388" ht="14.25" customHeight="1" spans="12:12" x14ac:dyDescent="0.25">
      <c r="L388" s="142"/>
    </row>
    <row r="389" ht="14.25" customHeight="1" spans="12:12" x14ac:dyDescent="0.25">
      <c r="L389" s="142"/>
    </row>
    <row r="390" ht="14.25" customHeight="1" spans="12:12" x14ac:dyDescent="0.25">
      <c r="L390" s="142"/>
    </row>
    <row r="391" ht="14.25" customHeight="1" spans="12:12" x14ac:dyDescent="0.25">
      <c r="L391" s="142"/>
    </row>
    <row r="392" ht="14.25" customHeight="1" spans="12:12" x14ac:dyDescent="0.25">
      <c r="L392" s="142"/>
    </row>
    <row r="393" ht="14.25" customHeight="1" spans="12:12" x14ac:dyDescent="0.25">
      <c r="L393" s="142"/>
    </row>
    <row r="394" ht="14.25" customHeight="1" spans="12:12" x14ac:dyDescent="0.25">
      <c r="L394" s="142"/>
    </row>
    <row r="395" ht="14.25" customHeight="1" spans="12:12" x14ac:dyDescent="0.25">
      <c r="L395" s="142"/>
    </row>
    <row r="396" ht="14.25" customHeight="1" spans="12:12" x14ac:dyDescent="0.25">
      <c r="L396" s="142"/>
    </row>
    <row r="397" ht="14.25" customHeight="1" spans="12:12" x14ac:dyDescent="0.25">
      <c r="L397" s="142"/>
    </row>
    <row r="398" ht="14.25" customHeight="1" spans="12:12" x14ac:dyDescent="0.25">
      <c r="L398" s="142"/>
    </row>
    <row r="399" ht="14.25" customHeight="1" spans="12:12" x14ac:dyDescent="0.25">
      <c r="L399" s="142"/>
    </row>
    <row r="400" ht="14.25" customHeight="1" spans="12:12" x14ac:dyDescent="0.25">
      <c r="L400" s="142"/>
    </row>
    <row r="401" ht="14.25" customHeight="1" spans="12:12" x14ac:dyDescent="0.25">
      <c r="L401" s="142"/>
    </row>
    <row r="402" ht="14.25" customHeight="1" spans="12:12" x14ac:dyDescent="0.25">
      <c r="L402" s="142"/>
    </row>
    <row r="403" ht="14.25" customHeight="1" spans="12:12" x14ac:dyDescent="0.25">
      <c r="L403" s="142"/>
    </row>
    <row r="404" ht="14.25" customHeight="1" spans="12:12" x14ac:dyDescent="0.25">
      <c r="L404" s="142"/>
    </row>
    <row r="405" ht="14.25" customHeight="1" spans="12:12" x14ac:dyDescent="0.25">
      <c r="L405" s="142"/>
    </row>
    <row r="406" ht="14.25" customHeight="1" spans="12:12" x14ac:dyDescent="0.25">
      <c r="L406" s="142"/>
    </row>
    <row r="407" ht="14.25" customHeight="1" spans="12:12" x14ac:dyDescent="0.25">
      <c r="L407" s="142"/>
    </row>
    <row r="408" ht="14.25" customHeight="1" spans="12:12" x14ac:dyDescent="0.25">
      <c r="L408" s="142"/>
    </row>
    <row r="409" ht="14.25" customHeight="1" spans="12:12" x14ac:dyDescent="0.25">
      <c r="L409" s="142"/>
    </row>
    <row r="410" ht="14.25" customHeight="1" spans="12:12" x14ac:dyDescent="0.25">
      <c r="L410" s="142"/>
    </row>
    <row r="411" ht="14.25" customHeight="1" spans="12:12" x14ac:dyDescent="0.25">
      <c r="L411" s="142"/>
    </row>
    <row r="412" ht="14.25" customHeight="1" spans="12:12" x14ac:dyDescent="0.25">
      <c r="L412" s="142"/>
    </row>
    <row r="413" ht="14.25" customHeight="1" spans="12:12" x14ac:dyDescent="0.25">
      <c r="L413" s="142"/>
    </row>
    <row r="414" ht="14.25" customHeight="1" spans="12:12" x14ac:dyDescent="0.25">
      <c r="L414" s="142"/>
    </row>
    <row r="415" ht="14.25" customHeight="1" spans="12:12" x14ac:dyDescent="0.25">
      <c r="L415" s="142"/>
    </row>
    <row r="416" ht="14.25" customHeight="1" spans="12:12" x14ac:dyDescent="0.25">
      <c r="L416" s="142"/>
    </row>
    <row r="417" ht="14.25" customHeight="1" spans="12:12" x14ac:dyDescent="0.25">
      <c r="L417" s="142"/>
    </row>
    <row r="418" ht="14.25" customHeight="1" spans="12:12" x14ac:dyDescent="0.25">
      <c r="L418" s="142"/>
    </row>
    <row r="419" ht="14.25" customHeight="1" spans="12:12" x14ac:dyDescent="0.25">
      <c r="L419" s="142"/>
    </row>
    <row r="420" ht="14.25" customHeight="1" spans="12:12" x14ac:dyDescent="0.25">
      <c r="L420" s="142"/>
    </row>
    <row r="421" ht="14.25" customHeight="1" spans="12:12" x14ac:dyDescent="0.25">
      <c r="L421" s="142"/>
    </row>
    <row r="422" ht="14.25" customHeight="1" spans="12:12" x14ac:dyDescent="0.25">
      <c r="L422" s="142"/>
    </row>
    <row r="423" ht="14.25" customHeight="1" spans="12:12" x14ac:dyDescent="0.25">
      <c r="L423" s="142"/>
    </row>
    <row r="424" ht="14.25" customHeight="1" spans="12:12" x14ac:dyDescent="0.25">
      <c r="L424" s="142"/>
    </row>
    <row r="425" ht="14.25" customHeight="1" spans="12:12" x14ac:dyDescent="0.25">
      <c r="L425" s="142"/>
    </row>
    <row r="426" ht="14.25" customHeight="1" spans="12:12" x14ac:dyDescent="0.25">
      <c r="L426" s="142"/>
    </row>
    <row r="427" ht="14.25" customHeight="1" spans="12:12" x14ac:dyDescent="0.25">
      <c r="L427" s="142"/>
    </row>
    <row r="428" ht="14.25" customHeight="1" spans="12:12" x14ac:dyDescent="0.25">
      <c r="L428" s="142"/>
    </row>
    <row r="429" ht="14.25" customHeight="1" spans="12:12" x14ac:dyDescent="0.25">
      <c r="L429" s="142"/>
    </row>
    <row r="430" ht="14.25" customHeight="1" spans="12:12" x14ac:dyDescent="0.25">
      <c r="L430" s="142"/>
    </row>
    <row r="431" ht="14.25" customHeight="1" spans="12:12" x14ac:dyDescent="0.25">
      <c r="L431" s="142"/>
    </row>
    <row r="432" ht="14.25" customHeight="1" spans="12:12" x14ac:dyDescent="0.25">
      <c r="L432" s="142"/>
    </row>
    <row r="433" ht="14.25" customHeight="1" spans="12:12" x14ac:dyDescent="0.25">
      <c r="L433" s="142"/>
    </row>
    <row r="434" ht="14.25" customHeight="1" spans="12:12" x14ac:dyDescent="0.25">
      <c r="L434" s="142"/>
    </row>
    <row r="435" ht="14.25" customHeight="1" spans="12:12" x14ac:dyDescent="0.25">
      <c r="L435" s="142"/>
    </row>
    <row r="436" ht="14.25" customHeight="1" spans="12:12" x14ac:dyDescent="0.25">
      <c r="L436" s="142"/>
    </row>
    <row r="437" ht="14.25" customHeight="1" spans="12:12" x14ac:dyDescent="0.25">
      <c r="L437" s="142"/>
    </row>
    <row r="438" ht="14.25" customHeight="1" spans="12:12" x14ac:dyDescent="0.25">
      <c r="L438" s="142"/>
    </row>
    <row r="439" ht="14.25" customHeight="1" spans="12:12" x14ac:dyDescent="0.25">
      <c r="L439" s="142"/>
    </row>
    <row r="440" ht="14.25" customHeight="1" spans="12:12" x14ac:dyDescent="0.25">
      <c r="L440" s="142"/>
    </row>
    <row r="441" ht="14.25" customHeight="1" spans="12:12" x14ac:dyDescent="0.25">
      <c r="L441" s="142"/>
    </row>
    <row r="442" ht="14.25" customHeight="1" spans="12:12" x14ac:dyDescent="0.25">
      <c r="L442" s="142"/>
    </row>
    <row r="443" ht="14.25" customHeight="1" spans="12:12" x14ac:dyDescent="0.25">
      <c r="L443" s="142"/>
    </row>
    <row r="444" ht="14.25" customHeight="1" spans="12:12" x14ac:dyDescent="0.25">
      <c r="L444" s="142"/>
    </row>
    <row r="445" ht="14.25" customHeight="1" spans="12:12" x14ac:dyDescent="0.25">
      <c r="L445" s="142"/>
    </row>
    <row r="446" ht="14.25" customHeight="1" spans="12:12" x14ac:dyDescent="0.25">
      <c r="L446" s="142"/>
    </row>
    <row r="447" ht="14.25" customHeight="1" spans="12:12" x14ac:dyDescent="0.25">
      <c r="L447" s="142"/>
    </row>
    <row r="448" ht="14.25" customHeight="1" spans="12:12" x14ac:dyDescent="0.25">
      <c r="L448" s="142"/>
    </row>
    <row r="449" ht="14.25" customHeight="1" spans="12:12" x14ac:dyDescent="0.25">
      <c r="L449" s="142"/>
    </row>
    <row r="450" ht="14.25" customHeight="1" spans="12:12" x14ac:dyDescent="0.25">
      <c r="L450" s="142"/>
    </row>
    <row r="451" ht="14.25" customHeight="1" spans="12:12" x14ac:dyDescent="0.25">
      <c r="L451" s="142"/>
    </row>
    <row r="452" ht="14.25" customHeight="1" spans="12:12" x14ac:dyDescent="0.25">
      <c r="L452" s="142"/>
    </row>
    <row r="453" ht="14.25" customHeight="1" spans="12:12" x14ac:dyDescent="0.25">
      <c r="L453" s="142"/>
    </row>
    <row r="454" ht="14.25" customHeight="1" spans="12:12" x14ac:dyDescent="0.25">
      <c r="L454" s="142"/>
    </row>
    <row r="455" ht="14.25" customHeight="1" spans="12:12" x14ac:dyDescent="0.25">
      <c r="L455" s="142"/>
    </row>
    <row r="456" ht="14.25" customHeight="1" spans="12:12" x14ac:dyDescent="0.25">
      <c r="L456" s="142"/>
    </row>
    <row r="457" ht="14.25" customHeight="1" spans="12:12" x14ac:dyDescent="0.25">
      <c r="L457" s="142"/>
    </row>
    <row r="458" ht="14.25" customHeight="1" spans="12:12" x14ac:dyDescent="0.25">
      <c r="L458" s="142"/>
    </row>
    <row r="459" ht="14.25" customHeight="1" spans="12:12" x14ac:dyDescent="0.25">
      <c r="L459" s="142"/>
    </row>
    <row r="460" ht="14.25" customHeight="1" spans="12:12" x14ac:dyDescent="0.25">
      <c r="L460" s="142"/>
    </row>
    <row r="461" ht="14.25" customHeight="1" spans="12:12" x14ac:dyDescent="0.25">
      <c r="L461" s="142"/>
    </row>
    <row r="462" ht="14.25" customHeight="1" spans="12:12" x14ac:dyDescent="0.25">
      <c r="L462" s="142"/>
    </row>
    <row r="463" ht="14.25" customHeight="1" spans="12:12" x14ac:dyDescent="0.25">
      <c r="L463" s="142"/>
    </row>
    <row r="464" ht="14.25" customHeight="1" spans="12:12" x14ac:dyDescent="0.25">
      <c r="L464" s="142"/>
    </row>
    <row r="465" ht="14.25" customHeight="1" spans="12:12" x14ac:dyDescent="0.25">
      <c r="L465" s="142"/>
    </row>
    <row r="466" ht="14.25" customHeight="1" spans="12:12" x14ac:dyDescent="0.25">
      <c r="L466" s="142"/>
    </row>
    <row r="467" ht="14.25" customHeight="1" spans="12:12" x14ac:dyDescent="0.25">
      <c r="L467" s="142"/>
    </row>
    <row r="468" ht="14.25" customHeight="1" spans="12:12" x14ac:dyDescent="0.25">
      <c r="L468" s="142"/>
    </row>
    <row r="469" ht="14.25" customHeight="1" spans="12:12" x14ac:dyDescent="0.25">
      <c r="L469" s="142"/>
    </row>
    <row r="470" ht="14.25" customHeight="1" spans="12:12" x14ac:dyDescent="0.25">
      <c r="L470" s="142"/>
    </row>
    <row r="471" ht="14.25" customHeight="1" spans="12:12" x14ac:dyDescent="0.25">
      <c r="L471" s="142"/>
    </row>
    <row r="472" ht="14.25" customHeight="1" spans="12:12" x14ac:dyDescent="0.25">
      <c r="L472" s="142"/>
    </row>
    <row r="473" ht="14.25" customHeight="1" spans="12:12" x14ac:dyDescent="0.25">
      <c r="L473" s="142"/>
    </row>
    <row r="474" ht="14.25" customHeight="1" spans="12:12" x14ac:dyDescent="0.25">
      <c r="L474" s="142"/>
    </row>
    <row r="475" ht="14.25" customHeight="1" spans="12:12" x14ac:dyDescent="0.25">
      <c r="L475" s="142"/>
    </row>
    <row r="476" ht="14.25" customHeight="1" spans="12:12" x14ac:dyDescent="0.25">
      <c r="L476" s="142"/>
    </row>
    <row r="477" ht="14.25" customHeight="1" spans="12:12" x14ac:dyDescent="0.25">
      <c r="L477" s="142"/>
    </row>
    <row r="478" ht="14.25" customHeight="1" spans="12:12" x14ac:dyDescent="0.25">
      <c r="L478" s="142"/>
    </row>
    <row r="479" ht="14.25" customHeight="1" spans="12:12" x14ac:dyDescent="0.25">
      <c r="L479" s="142"/>
    </row>
    <row r="480" ht="14.25" customHeight="1" spans="12:12" x14ac:dyDescent="0.25">
      <c r="L480" s="142"/>
    </row>
    <row r="481" ht="14.25" customHeight="1" spans="12:12" x14ac:dyDescent="0.25">
      <c r="L481" s="142"/>
    </row>
    <row r="482" ht="14.25" customHeight="1" spans="12:12" x14ac:dyDescent="0.25">
      <c r="L482" s="142"/>
    </row>
    <row r="483" ht="14.25" customHeight="1" spans="12:12" x14ac:dyDescent="0.25">
      <c r="L483" s="142"/>
    </row>
    <row r="484" ht="14.25" customHeight="1" spans="12:12" x14ac:dyDescent="0.25">
      <c r="L484" s="142"/>
    </row>
    <row r="485" ht="14.25" customHeight="1" spans="12:12" x14ac:dyDescent="0.25">
      <c r="L485" s="142"/>
    </row>
    <row r="486" ht="14.25" customHeight="1" spans="12:12" x14ac:dyDescent="0.25">
      <c r="L486" s="142"/>
    </row>
    <row r="487" ht="14.25" customHeight="1" spans="12:12" x14ac:dyDescent="0.25">
      <c r="L487" s="142"/>
    </row>
    <row r="488" ht="14.25" customHeight="1" spans="12:12" x14ac:dyDescent="0.25">
      <c r="L488" s="142"/>
    </row>
    <row r="489" ht="14.25" customHeight="1" spans="12:12" x14ac:dyDescent="0.25">
      <c r="L489" s="142"/>
    </row>
    <row r="490" ht="14.25" customHeight="1" spans="12:12" x14ac:dyDescent="0.25">
      <c r="L490" s="142"/>
    </row>
    <row r="491" ht="14.25" customHeight="1" spans="12:12" x14ac:dyDescent="0.25">
      <c r="L491" s="142"/>
    </row>
    <row r="492" ht="14.25" customHeight="1" spans="12:12" x14ac:dyDescent="0.25">
      <c r="L492" s="142"/>
    </row>
    <row r="493" ht="14.25" customHeight="1" spans="12:12" x14ac:dyDescent="0.25">
      <c r="L493" s="142"/>
    </row>
    <row r="494" ht="14.25" customHeight="1" spans="12:12" x14ac:dyDescent="0.25">
      <c r="L494" s="142"/>
    </row>
    <row r="495" ht="14.25" customHeight="1" spans="12:12" x14ac:dyDescent="0.25">
      <c r="L495" s="142"/>
    </row>
    <row r="496" ht="14.25" customHeight="1" spans="12:12" x14ac:dyDescent="0.25">
      <c r="L496" s="142"/>
    </row>
    <row r="497" ht="14.25" customHeight="1" spans="12:12" x14ac:dyDescent="0.25">
      <c r="L497" s="142"/>
    </row>
    <row r="498" ht="14.25" customHeight="1" spans="12:12" x14ac:dyDescent="0.25">
      <c r="L498" s="142"/>
    </row>
    <row r="499" ht="14.25" customHeight="1" spans="12:12" x14ac:dyDescent="0.25">
      <c r="L499" s="142"/>
    </row>
    <row r="500" ht="14.25" customHeight="1" spans="12:12" x14ac:dyDescent="0.25">
      <c r="L500" s="142"/>
    </row>
    <row r="501" ht="14.25" customHeight="1" spans="12:12" x14ac:dyDescent="0.25">
      <c r="L501" s="142"/>
    </row>
    <row r="502" ht="14.25" customHeight="1" spans="12:12" x14ac:dyDescent="0.25">
      <c r="L502" s="142"/>
    </row>
    <row r="503" ht="14.25" customHeight="1" spans="12:12" x14ac:dyDescent="0.25">
      <c r="L503" s="142"/>
    </row>
    <row r="504" ht="14.25" customHeight="1" spans="12:12" x14ac:dyDescent="0.25">
      <c r="L504" s="142"/>
    </row>
    <row r="505" ht="14.25" customHeight="1" spans="12:12" x14ac:dyDescent="0.25">
      <c r="L505" s="142"/>
    </row>
    <row r="506" ht="14.25" customHeight="1" spans="12:12" x14ac:dyDescent="0.25">
      <c r="L506" s="142"/>
    </row>
    <row r="507" ht="14.25" customHeight="1" spans="12:12" x14ac:dyDescent="0.25">
      <c r="L507" s="142"/>
    </row>
    <row r="508" ht="14.25" customHeight="1" spans="12:12" x14ac:dyDescent="0.25">
      <c r="L508" s="142"/>
    </row>
    <row r="509" ht="14.25" customHeight="1" spans="12:12" x14ac:dyDescent="0.25">
      <c r="L509" s="142"/>
    </row>
    <row r="510" ht="14.25" customHeight="1" spans="12:12" x14ac:dyDescent="0.25">
      <c r="L510" s="142"/>
    </row>
    <row r="511" ht="14.25" customHeight="1" spans="12:12" x14ac:dyDescent="0.25">
      <c r="L511" s="142"/>
    </row>
    <row r="512" ht="14.25" customHeight="1" spans="12:12" x14ac:dyDescent="0.25">
      <c r="L512" s="142"/>
    </row>
    <row r="513" ht="14.25" customHeight="1" spans="12:12" x14ac:dyDescent="0.25">
      <c r="L513" s="142"/>
    </row>
    <row r="514" ht="14.25" customHeight="1" spans="12:12" x14ac:dyDescent="0.25">
      <c r="L514" s="142"/>
    </row>
    <row r="515" ht="14.25" customHeight="1" spans="12:12" x14ac:dyDescent="0.25">
      <c r="L515" s="142"/>
    </row>
    <row r="516" ht="14.25" customHeight="1" spans="12:12" x14ac:dyDescent="0.25">
      <c r="L516" s="142"/>
    </row>
    <row r="517" ht="14.25" customHeight="1" spans="12:12" x14ac:dyDescent="0.25">
      <c r="L517" s="142"/>
    </row>
    <row r="518" ht="14.25" customHeight="1" spans="12:12" x14ac:dyDescent="0.25">
      <c r="L518" s="142"/>
    </row>
    <row r="519" ht="14.25" customHeight="1" spans="12:12" x14ac:dyDescent="0.25">
      <c r="L519" s="142"/>
    </row>
    <row r="520" ht="14.25" customHeight="1" spans="12:12" x14ac:dyDescent="0.25">
      <c r="L520" s="142"/>
    </row>
    <row r="521" ht="14.25" customHeight="1" spans="12:12" x14ac:dyDescent="0.25">
      <c r="L521" s="142"/>
    </row>
    <row r="522" ht="14.25" customHeight="1" spans="12:12" x14ac:dyDescent="0.25">
      <c r="L522" s="142"/>
    </row>
    <row r="523" ht="14.25" customHeight="1" spans="12:12" x14ac:dyDescent="0.25">
      <c r="L523" s="142"/>
    </row>
    <row r="524" ht="14.25" customHeight="1" spans="12:12" x14ac:dyDescent="0.25">
      <c r="L524" s="142"/>
    </row>
    <row r="525" ht="14.25" customHeight="1" spans="12:12" x14ac:dyDescent="0.25">
      <c r="L525" s="142"/>
    </row>
    <row r="526" ht="14.25" customHeight="1" spans="12:12" x14ac:dyDescent="0.25">
      <c r="L526" s="142"/>
    </row>
    <row r="527" ht="14.25" customHeight="1" spans="12:12" x14ac:dyDescent="0.25">
      <c r="L527" s="142"/>
    </row>
    <row r="528" ht="14.25" customHeight="1" spans="12:12" x14ac:dyDescent="0.25">
      <c r="L528" s="142"/>
    </row>
    <row r="529" ht="14.25" customHeight="1" spans="12:12" x14ac:dyDescent="0.25">
      <c r="L529" s="142"/>
    </row>
    <row r="530" ht="14.25" customHeight="1" spans="12:12" x14ac:dyDescent="0.25">
      <c r="L530" s="142"/>
    </row>
    <row r="531" ht="14.25" customHeight="1" spans="12:12" x14ac:dyDescent="0.25">
      <c r="L531" s="142"/>
    </row>
    <row r="532" ht="14.25" customHeight="1" spans="12:12" x14ac:dyDescent="0.25">
      <c r="L532" s="142"/>
    </row>
    <row r="533" ht="14.25" customHeight="1" spans="12:12" x14ac:dyDescent="0.25">
      <c r="L533" s="142"/>
    </row>
    <row r="534" ht="14.25" customHeight="1" spans="12:12" x14ac:dyDescent="0.25">
      <c r="L534" s="142"/>
    </row>
    <row r="535" ht="14.25" customHeight="1" spans="12:12" x14ac:dyDescent="0.25">
      <c r="L535" s="142"/>
    </row>
    <row r="536" ht="14.25" customHeight="1" spans="12:12" x14ac:dyDescent="0.25">
      <c r="L536" s="142"/>
    </row>
    <row r="537" ht="14.25" customHeight="1" spans="12:12" x14ac:dyDescent="0.25">
      <c r="L537" s="142"/>
    </row>
    <row r="538" ht="14.25" customHeight="1" spans="12:12" x14ac:dyDescent="0.25">
      <c r="L538" s="142"/>
    </row>
    <row r="539" ht="14.25" customHeight="1" spans="12:12" x14ac:dyDescent="0.25">
      <c r="L539" s="142"/>
    </row>
    <row r="540" ht="14.25" customHeight="1" spans="12:12" x14ac:dyDescent="0.25">
      <c r="L540" s="142"/>
    </row>
    <row r="541" ht="14.25" customHeight="1" spans="12:12" x14ac:dyDescent="0.25">
      <c r="L541" s="142"/>
    </row>
    <row r="542" ht="14.25" customHeight="1" spans="12:12" x14ac:dyDescent="0.25">
      <c r="L542" s="142"/>
    </row>
    <row r="543" ht="14.25" customHeight="1" spans="12:12" x14ac:dyDescent="0.25">
      <c r="L543" s="142"/>
    </row>
    <row r="544" ht="14.25" customHeight="1" spans="12:12" x14ac:dyDescent="0.25">
      <c r="L544" s="142"/>
    </row>
    <row r="545" ht="14.25" customHeight="1" spans="12:12" x14ac:dyDescent="0.25">
      <c r="L545" s="142"/>
    </row>
    <row r="546" ht="14.25" customHeight="1" spans="12:12" x14ac:dyDescent="0.25">
      <c r="L546" s="142"/>
    </row>
    <row r="547" ht="14.25" customHeight="1" spans="12:12" x14ac:dyDescent="0.25">
      <c r="L547" s="142"/>
    </row>
    <row r="548" ht="14.25" customHeight="1" spans="12:12" x14ac:dyDescent="0.25">
      <c r="L548" s="142"/>
    </row>
    <row r="549" ht="14.25" customHeight="1" spans="12:12" x14ac:dyDescent="0.25">
      <c r="L549" s="142"/>
    </row>
    <row r="550" ht="14.25" customHeight="1" spans="12:12" x14ac:dyDescent="0.25">
      <c r="L550" s="142"/>
    </row>
    <row r="551" ht="14.25" customHeight="1" spans="12:12" x14ac:dyDescent="0.25">
      <c r="L551" s="142"/>
    </row>
    <row r="552" ht="14.25" customHeight="1" spans="12:12" x14ac:dyDescent="0.25">
      <c r="L552" s="142"/>
    </row>
    <row r="553" ht="14.25" customHeight="1" spans="12:12" x14ac:dyDescent="0.25">
      <c r="L553" s="142"/>
    </row>
    <row r="554" ht="14.25" customHeight="1" spans="12:12" x14ac:dyDescent="0.25">
      <c r="L554" s="142"/>
    </row>
    <row r="555" ht="14.25" customHeight="1" spans="12:12" x14ac:dyDescent="0.25">
      <c r="L555" s="142"/>
    </row>
    <row r="556" ht="14.25" customHeight="1" spans="12:12" x14ac:dyDescent="0.25">
      <c r="L556" s="142"/>
    </row>
    <row r="557" ht="14.25" customHeight="1" spans="12:12" x14ac:dyDescent="0.25">
      <c r="L557" s="142"/>
    </row>
    <row r="558" ht="14.25" customHeight="1" spans="12:12" x14ac:dyDescent="0.25">
      <c r="L558" s="142"/>
    </row>
    <row r="559" ht="14.25" customHeight="1" spans="12:12" x14ac:dyDescent="0.25">
      <c r="L559" s="142"/>
    </row>
    <row r="560" ht="14.25" customHeight="1" spans="12:12" x14ac:dyDescent="0.25">
      <c r="L560" s="142"/>
    </row>
    <row r="561" ht="14.25" customHeight="1" spans="12:12" x14ac:dyDescent="0.25">
      <c r="L561" s="142"/>
    </row>
    <row r="562" ht="14.25" customHeight="1" spans="12:12" x14ac:dyDescent="0.25">
      <c r="L562" s="142"/>
    </row>
    <row r="563" ht="14.25" customHeight="1" spans="12:12" x14ac:dyDescent="0.25">
      <c r="L563" s="142"/>
    </row>
    <row r="564" ht="14.25" customHeight="1" spans="12:12" x14ac:dyDescent="0.25">
      <c r="L564" s="142"/>
    </row>
    <row r="565" ht="14.25" customHeight="1" spans="12:12" x14ac:dyDescent="0.25">
      <c r="L565" s="142"/>
    </row>
    <row r="566" ht="14.25" customHeight="1" spans="12:12" x14ac:dyDescent="0.25">
      <c r="L566" s="142"/>
    </row>
    <row r="567" ht="14.25" customHeight="1" spans="12:12" x14ac:dyDescent="0.25">
      <c r="L567" s="142"/>
    </row>
    <row r="568" ht="14.25" customHeight="1" spans="12:12" x14ac:dyDescent="0.25">
      <c r="L568" s="142"/>
    </row>
    <row r="569" ht="14.25" customHeight="1" spans="12:12" x14ac:dyDescent="0.25">
      <c r="L569" s="142"/>
    </row>
    <row r="570" ht="14.25" customHeight="1" spans="12:12" x14ac:dyDescent="0.25">
      <c r="L570" s="142"/>
    </row>
    <row r="571" ht="14.25" customHeight="1" spans="12:12" x14ac:dyDescent="0.25">
      <c r="L571" s="142"/>
    </row>
    <row r="572" ht="14.25" customHeight="1" spans="12:12" x14ac:dyDescent="0.25">
      <c r="L572" s="142"/>
    </row>
    <row r="573" ht="14.25" customHeight="1" spans="12:12" x14ac:dyDescent="0.25">
      <c r="L573" s="142"/>
    </row>
    <row r="574" ht="14.25" customHeight="1" spans="12:12" x14ac:dyDescent="0.25">
      <c r="L574" s="142"/>
    </row>
    <row r="575" ht="14.25" customHeight="1" spans="12:12" x14ac:dyDescent="0.25">
      <c r="L575" s="142"/>
    </row>
    <row r="576" ht="14.25" customHeight="1" spans="12:12" x14ac:dyDescent="0.25">
      <c r="L576" s="142"/>
    </row>
    <row r="577" ht="14.25" customHeight="1" spans="12:12" x14ac:dyDescent="0.25">
      <c r="L577" s="142"/>
    </row>
    <row r="578" ht="14.25" customHeight="1" spans="12:12" x14ac:dyDescent="0.25">
      <c r="L578" s="142"/>
    </row>
    <row r="579" ht="14.25" customHeight="1" spans="12:12" x14ac:dyDescent="0.25">
      <c r="L579" s="142"/>
    </row>
    <row r="580" ht="14.25" customHeight="1" spans="12:12" x14ac:dyDescent="0.25">
      <c r="L580" s="142"/>
    </row>
    <row r="581" ht="14.25" customHeight="1" spans="12:12" x14ac:dyDescent="0.25">
      <c r="L581" s="142"/>
    </row>
    <row r="582" ht="14.25" customHeight="1" spans="12:12" x14ac:dyDescent="0.25">
      <c r="L582" s="142"/>
    </row>
    <row r="583" ht="14.25" customHeight="1" spans="12:12" x14ac:dyDescent="0.25">
      <c r="L583" s="142"/>
    </row>
    <row r="584" ht="14.25" customHeight="1" spans="12:12" x14ac:dyDescent="0.25">
      <c r="L584" s="142"/>
    </row>
    <row r="585" ht="14.25" customHeight="1" spans="12:12" x14ac:dyDescent="0.25">
      <c r="L585" s="142"/>
    </row>
    <row r="586" ht="14.25" customHeight="1" spans="12:12" x14ac:dyDescent="0.25">
      <c r="L586" s="142"/>
    </row>
    <row r="587" ht="14.25" customHeight="1" spans="12:12" x14ac:dyDescent="0.25">
      <c r="L587" s="142"/>
    </row>
    <row r="588" ht="14.25" customHeight="1" spans="12:12" x14ac:dyDescent="0.25">
      <c r="L588" s="142"/>
    </row>
    <row r="589" ht="14.25" customHeight="1" spans="12:12" x14ac:dyDescent="0.25">
      <c r="L589" s="142"/>
    </row>
    <row r="590" ht="14.25" customHeight="1" spans="12:12" x14ac:dyDescent="0.25">
      <c r="L590" s="142"/>
    </row>
    <row r="591" ht="14.25" customHeight="1" spans="12:12" x14ac:dyDescent="0.25">
      <c r="L591" s="142"/>
    </row>
    <row r="592" ht="14.25" customHeight="1" spans="12:12" x14ac:dyDescent="0.25">
      <c r="L592" s="142"/>
    </row>
    <row r="593" ht="14.25" customHeight="1" spans="12:12" x14ac:dyDescent="0.25">
      <c r="L593" s="142"/>
    </row>
    <row r="594" ht="14.25" customHeight="1" spans="12:12" x14ac:dyDescent="0.25">
      <c r="L594" s="142"/>
    </row>
    <row r="595" ht="14.25" customHeight="1" spans="12:12" x14ac:dyDescent="0.25">
      <c r="L595" s="142"/>
    </row>
    <row r="596" ht="14.25" customHeight="1" spans="12:12" x14ac:dyDescent="0.25">
      <c r="L596" s="142"/>
    </row>
    <row r="597" ht="14.25" customHeight="1" spans="12:12" x14ac:dyDescent="0.25">
      <c r="L597" s="142"/>
    </row>
    <row r="598" ht="14.25" customHeight="1" spans="12:12" x14ac:dyDescent="0.25">
      <c r="L598" s="142"/>
    </row>
    <row r="599" ht="14.25" customHeight="1" spans="12:12" x14ac:dyDescent="0.25">
      <c r="L599" s="142"/>
    </row>
    <row r="600" ht="14.25" customHeight="1" spans="12:12" x14ac:dyDescent="0.25">
      <c r="L600" s="142"/>
    </row>
    <row r="601" ht="14.25" customHeight="1" spans="12:12" x14ac:dyDescent="0.25">
      <c r="L601" s="142"/>
    </row>
    <row r="602" ht="14.25" customHeight="1" spans="12:12" x14ac:dyDescent="0.25">
      <c r="L602" s="142"/>
    </row>
    <row r="603" ht="14.25" customHeight="1" spans="12:12" x14ac:dyDescent="0.25">
      <c r="L603" s="142"/>
    </row>
    <row r="604" ht="14.25" customHeight="1" spans="12:12" x14ac:dyDescent="0.25">
      <c r="L604" s="142"/>
    </row>
    <row r="605" ht="14.25" customHeight="1" spans="12:12" x14ac:dyDescent="0.25">
      <c r="L605" s="142"/>
    </row>
    <row r="606" ht="14.25" customHeight="1" spans="12:12" x14ac:dyDescent="0.25">
      <c r="L606" s="142"/>
    </row>
    <row r="607" ht="14.25" customHeight="1" spans="12:12" x14ac:dyDescent="0.25">
      <c r="L607" s="142"/>
    </row>
    <row r="608" ht="14.25" customHeight="1" spans="12:12" x14ac:dyDescent="0.25">
      <c r="L608" s="142"/>
    </row>
    <row r="609" ht="14.25" customHeight="1" spans="12:12" x14ac:dyDescent="0.25">
      <c r="L609" s="142"/>
    </row>
    <row r="610" ht="14.25" customHeight="1" spans="12:12" x14ac:dyDescent="0.25">
      <c r="L610" s="142"/>
    </row>
    <row r="611" ht="14.25" customHeight="1" spans="12:12" x14ac:dyDescent="0.25">
      <c r="L611" s="142"/>
    </row>
    <row r="612" ht="14.25" customHeight="1" spans="12:12" x14ac:dyDescent="0.25">
      <c r="L612" s="142"/>
    </row>
    <row r="613" ht="14.25" customHeight="1" spans="12:12" x14ac:dyDescent="0.25">
      <c r="L613" s="142"/>
    </row>
    <row r="614" ht="14.25" customHeight="1" spans="12:12" x14ac:dyDescent="0.25">
      <c r="L614" s="142"/>
    </row>
    <row r="615" ht="14.25" customHeight="1" spans="12:12" x14ac:dyDescent="0.25">
      <c r="L615" s="142"/>
    </row>
    <row r="616" ht="14.25" customHeight="1" spans="12:12" x14ac:dyDescent="0.25">
      <c r="L616" s="142"/>
    </row>
    <row r="617" ht="14.25" customHeight="1" spans="12:12" x14ac:dyDescent="0.25">
      <c r="L617" s="142"/>
    </row>
    <row r="618" ht="14.25" customHeight="1" spans="12:12" x14ac:dyDescent="0.25">
      <c r="L618" s="142"/>
    </row>
    <row r="619" ht="14.25" customHeight="1" spans="12:12" x14ac:dyDescent="0.25">
      <c r="L619" s="142"/>
    </row>
    <row r="620" ht="14.25" customHeight="1" spans="12:12" x14ac:dyDescent="0.25">
      <c r="L620" s="142"/>
    </row>
    <row r="621" ht="14.25" customHeight="1" spans="12:12" x14ac:dyDescent="0.25">
      <c r="L621" s="142"/>
    </row>
    <row r="622" ht="14.25" customHeight="1" spans="12:12" x14ac:dyDescent="0.25">
      <c r="L622" s="142"/>
    </row>
    <row r="623" ht="14.25" customHeight="1" spans="12:12" x14ac:dyDescent="0.25">
      <c r="L623" s="142"/>
    </row>
    <row r="624" ht="14.25" customHeight="1" spans="12:12" x14ac:dyDescent="0.25">
      <c r="L624" s="142"/>
    </row>
    <row r="625" ht="14.25" customHeight="1" spans="12:12" x14ac:dyDescent="0.25">
      <c r="L625" s="142"/>
    </row>
    <row r="626" ht="14.25" customHeight="1" spans="12:12" x14ac:dyDescent="0.25">
      <c r="L626" s="142"/>
    </row>
    <row r="627" ht="14.25" customHeight="1" spans="12:12" x14ac:dyDescent="0.25">
      <c r="L627" s="142"/>
    </row>
    <row r="628" ht="14.25" customHeight="1" spans="12:12" x14ac:dyDescent="0.25">
      <c r="L628" s="142"/>
    </row>
    <row r="629" ht="14.25" customHeight="1" spans="12:12" x14ac:dyDescent="0.25">
      <c r="L629" s="142"/>
    </row>
    <row r="630" ht="14.25" customHeight="1" spans="12:12" x14ac:dyDescent="0.25">
      <c r="L630" s="142"/>
    </row>
    <row r="631" ht="14.25" customHeight="1" spans="12:12" x14ac:dyDescent="0.25">
      <c r="L631" s="142"/>
    </row>
    <row r="632" ht="14.25" customHeight="1" spans="12:12" x14ac:dyDescent="0.25">
      <c r="L632" s="142"/>
    </row>
    <row r="633" ht="14.25" customHeight="1" spans="12:12" x14ac:dyDescent="0.25">
      <c r="L633" s="142"/>
    </row>
    <row r="634" ht="14.25" customHeight="1" spans="12:12" x14ac:dyDescent="0.25">
      <c r="L634" s="142"/>
    </row>
    <row r="635" ht="14.25" customHeight="1" spans="12:12" x14ac:dyDescent="0.25">
      <c r="L635" s="142"/>
    </row>
    <row r="636" ht="14.25" customHeight="1" spans="12:12" x14ac:dyDescent="0.25">
      <c r="L636" s="142"/>
    </row>
    <row r="637" ht="14.25" customHeight="1" spans="12:12" x14ac:dyDescent="0.25">
      <c r="L637" s="142"/>
    </row>
    <row r="638" ht="14.25" customHeight="1" spans="12:12" x14ac:dyDescent="0.25">
      <c r="L638" s="142"/>
    </row>
    <row r="639" ht="14.25" customHeight="1" spans="12:12" x14ac:dyDescent="0.25">
      <c r="L639" s="142"/>
    </row>
    <row r="640" ht="14.25" customHeight="1" spans="12:12" x14ac:dyDescent="0.25">
      <c r="L640" s="142"/>
    </row>
    <row r="641" ht="14.25" customHeight="1" spans="12:12" x14ac:dyDescent="0.25">
      <c r="L641" s="142"/>
    </row>
    <row r="642" ht="14.25" customHeight="1" spans="12:12" x14ac:dyDescent="0.25">
      <c r="L642" s="142"/>
    </row>
    <row r="643" ht="14.25" customHeight="1" spans="12:12" x14ac:dyDescent="0.25">
      <c r="L643" s="142"/>
    </row>
    <row r="644" ht="14.25" customHeight="1" spans="12:12" x14ac:dyDescent="0.25">
      <c r="L644" s="142"/>
    </row>
    <row r="645" ht="14.25" customHeight="1" spans="12:12" x14ac:dyDescent="0.25">
      <c r="L645" s="142"/>
    </row>
    <row r="646" ht="14.25" customHeight="1" spans="12:12" x14ac:dyDescent="0.25">
      <c r="L646" s="142"/>
    </row>
    <row r="647" ht="14.25" customHeight="1" spans="12:12" x14ac:dyDescent="0.25">
      <c r="L647" s="142"/>
    </row>
    <row r="648" ht="14.25" customHeight="1" spans="12:12" x14ac:dyDescent="0.25">
      <c r="L648" s="142"/>
    </row>
    <row r="649" ht="14.25" customHeight="1" spans="12:12" x14ac:dyDescent="0.25">
      <c r="L649" s="142"/>
    </row>
    <row r="650" ht="14.25" customHeight="1" spans="12:12" x14ac:dyDescent="0.25">
      <c r="L650" s="142"/>
    </row>
    <row r="651" ht="14.25" customHeight="1" spans="12:12" x14ac:dyDescent="0.25">
      <c r="L651" s="142"/>
    </row>
    <row r="652" ht="14.25" customHeight="1" spans="12:12" x14ac:dyDescent="0.25">
      <c r="L652" s="142"/>
    </row>
    <row r="653" ht="14.25" customHeight="1" spans="12:12" x14ac:dyDescent="0.25">
      <c r="L653" s="142"/>
    </row>
    <row r="654" ht="14.25" customHeight="1" spans="12:12" x14ac:dyDescent="0.25">
      <c r="L654" s="142"/>
    </row>
    <row r="655" ht="14.25" customHeight="1" spans="12:12" x14ac:dyDescent="0.25">
      <c r="L655" s="142"/>
    </row>
    <row r="656" ht="14.25" customHeight="1" spans="12:12" x14ac:dyDescent="0.25">
      <c r="L656" s="142"/>
    </row>
    <row r="657" ht="14.25" customHeight="1" spans="12:12" x14ac:dyDescent="0.25">
      <c r="L657" s="142"/>
    </row>
    <row r="658" ht="14.25" customHeight="1" spans="12:12" x14ac:dyDescent="0.25">
      <c r="L658" s="142"/>
    </row>
    <row r="659" ht="14.25" customHeight="1" spans="12:12" x14ac:dyDescent="0.25">
      <c r="L659" s="142"/>
    </row>
    <row r="660" ht="14.25" customHeight="1" spans="12:12" x14ac:dyDescent="0.25">
      <c r="L660" s="142"/>
    </row>
    <row r="661" ht="14.25" customHeight="1" spans="12:12" x14ac:dyDescent="0.25">
      <c r="L661" s="142"/>
    </row>
    <row r="662" ht="14.25" customHeight="1" spans="12:12" x14ac:dyDescent="0.25">
      <c r="L662" s="142"/>
    </row>
    <row r="663" ht="14.25" customHeight="1" spans="12:12" x14ac:dyDescent="0.25">
      <c r="L663" s="142"/>
    </row>
    <row r="664" ht="14.25" customHeight="1" spans="12:12" x14ac:dyDescent="0.25">
      <c r="L664" s="142"/>
    </row>
    <row r="665" ht="14.25" customHeight="1" spans="12:12" x14ac:dyDescent="0.25">
      <c r="L665" s="142"/>
    </row>
    <row r="666" ht="14.25" customHeight="1" spans="12:12" x14ac:dyDescent="0.25">
      <c r="L666" s="142"/>
    </row>
    <row r="667" ht="14.25" customHeight="1" spans="12:12" x14ac:dyDescent="0.25">
      <c r="L667" s="142"/>
    </row>
    <row r="668" ht="14.25" customHeight="1" spans="12:12" x14ac:dyDescent="0.25">
      <c r="L668" s="142"/>
    </row>
    <row r="669" ht="14.25" customHeight="1" spans="12:12" x14ac:dyDescent="0.25">
      <c r="L669" s="142"/>
    </row>
    <row r="670" ht="14.25" customHeight="1" spans="12:12" x14ac:dyDescent="0.25">
      <c r="L670" s="142"/>
    </row>
    <row r="671" ht="14.25" customHeight="1" spans="12:12" x14ac:dyDescent="0.25">
      <c r="L671" s="142"/>
    </row>
    <row r="672" ht="14.25" customHeight="1" spans="12:12" x14ac:dyDescent="0.25">
      <c r="L672" s="142"/>
    </row>
    <row r="673" ht="14.25" customHeight="1" spans="12:12" x14ac:dyDescent="0.25">
      <c r="L673" s="142"/>
    </row>
    <row r="674" ht="14.25" customHeight="1" spans="12:12" x14ac:dyDescent="0.25">
      <c r="L674" s="142"/>
    </row>
    <row r="675" ht="14.25" customHeight="1" spans="12:12" x14ac:dyDescent="0.25">
      <c r="L675" s="142"/>
    </row>
    <row r="676" ht="14.25" customHeight="1" spans="12:12" x14ac:dyDescent="0.25">
      <c r="L676" s="142"/>
    </row>
    <row r="677" ht="14.25" customHeight="1" spans="12:12" x14ac:dyDescent="0.25">
      <c r="L677" s="142"/>
    </row>
    <row r="678" ht="14.25" customHeight="1" spans="12:12" x14ac:dyDescent="0.25">
      <c r="L678" s="142"/>
    </row>
    <row r="679" ht="14.25" customHeight="1" spans="12:12" x14ac:dyDescent="0.25">
      <c r="L679" s="142"/>
    </row>
    <row r="680" ht="14.25" customHeight="1" spans="12:12" x14ac:dyDescent="0.25">
      <c r="L680" s="142"/>
    </row>
    <row r="681" ht="14.25" customHeight="1" spans="12:12" x14ac:dyDescent="0.25">
      <c r="L681" s="142"/>
    </row>
    <row r="682" ht="14.25" customHeight="1" spans="12:12" x14ac:dyDescent="0.25">
      <c r="L682" s="142"/>
    </row>
    <row r="683" ht="14.25" customHeight="1" spans="12:12" x14ac:dyDescent="0.25">
      <c r="L683" s="142"/>
    </row>
    <row r="684" ht="14.25" customHeight="1" spans="12:12" x14ac:dyDescent="0.25">
      <c r="L684" s="142"/>
    </row>
    <row r="685" ht="14.25" customHeight="1" spans="12:12" x14ac:dyDescent="0.25">
      <c r="L685" s="142"/>
    </row>
    <row r="686" ht="14.25" customHeight="1" spans="12:12" x14ac:dyDescent="0.25">
      <c r="L686" s="142"/>
    </row>
    <row r="687" ht="14.25" customHeight="1" spans="12:12" x14ac:dyDescent="0.25">
      <c r="L687" s="142"/>
    </row>
    <row r="688" ht="14.25" customHeight="1" spans="12:12" x14ac:dyDescent="0.25">
      <c r="L688" s="142"/>
    </row>
    <row r="689" ht="14.25" customHeight="1" spans="12:12" x14ac:dyDescent="0.25">
      <c r="L689" s="142"/>
    </row>
    <row r="690" ht="14.25" customHeight="1" spans="12:12" x14ac:dyDescent="0.25">
      <c r="L690" s="142"/>
    </row>
    <row r="691" ht="14.25" customHeight="1" spans="12:12" x14ac:dyDescent="0.25">
      <c r="L691" s="142"/>
    </row>
    <row r="692" ht="14.25" customHeight="1" spans="12:12" x14ac:dyDescent="0.25">
      <c r="L692" s="142"/>
    </row>
    <row r="693" ht="14.25" customHeight="1" spans="12:12" x14ac:dyDescent="0.25">
      <c r="L693" s="142"/>
    </row>
    <row r="694" ht="14.25" customHeight="1" spans="12:12" x14ac:dyDescent="0.25">
      <c r="L694" s="142"/>
    </row>
    <row r="695" ht="14.25" customHeight="1" spans="12:12" x14ac:dyDescent="0.25">
      <c r="L695" s="142"/>
    </row>
    <row r="696" ht="14.25" customHeight="1" spans="12:12" x14ac:dyDescent="0.25">
      <c r="L696" s="142"/>
    </row>
    <row r="697" ht="14.25" customHeight="1" spans="12:12" x14ac:dyDescent="0.25">
      <c r="L697" s="142"/>
    </row>
    <row r="698" ht="14.25" customHeight="1" spans="12:12" x14ac:dyDescent="0.25">
      <c r="L698" s="142"/>
    </row>
    <row r="699" ht="14.25" customHeight="1" spans="12:12" x14ac:dyDescent="0.25">
      <c r="L699" s="142"/>
    </row>
    <row r="700" ht="14.25" customHeight="1" spans="12:12" x14ac:dyDescent="0.25">
      <c r="L700" s="142"/>
    </row>
    <row r="701" ht="14.25" customHeight="1" spans="12:12" x14ac:dyDescent="0.25">
      <c r="L701" s="142"/>
    </row>
    <row r="702" ht="14.25" customHeight="1" spans="12:12" x14ac:dyDescent="0.25">
      <c r="L702" s="142"/>
    </row>
    <row r="703" ht="14.25" customHeight="1" spans="12:12" x14ac:dyDescent="0.25">
      <c r="L703" s="142"/>
    </row>
    <row r="704" ht="14.25" customHeight="1" spans="12:12" x14ac:dyDescent="0.25">
      <c r="L704" s="142"/>
    </row>
    <row r="705" ht="14.25" customHeight="1" spans="12:12" x14ac:dyDescent="0.25">
      <c r="L705" s="142"/>
    </row>
    <row r="706" ht="14.25" customHeight="1" spans="12:12" x14ac:dyDescent="0.25">
      <c r="L706" s="142"/>
    </row>
    <row r="707" ht="14.25" customHeight="1" spans="12:12" x14ac:dyDescent="0.25">
      <c r="L707" s="142"/>
    </row>
    <row r="708" ht="14.25" customHeight="1" spans="12:12" x14ac:dyDescent="0.25">
      <c r="L708" s="142"/>
    </row>
    <row r="709" ht="14.25" customHeight="1" spans="12:12" x14ac:dyDescent="0.25">
      <c r="L709" s="142"/>
    </row>
    <row r="710" ht="14.25" customHeight="1" spans="12:12" x14ac:dyDescent="0.25">
      <c r="L710" s="142"/>
    </row>
    <row r="711" ht="14.25" customHeight="1" spans="12:12" x14ac:dyDescent="0.25">
      <c r="L711" s="142"/>
    </row>
    <row r="712" ht="14.25" customHeight="1" spans="12:12" x14ac:dyDescent="0.25">
      <c r="L712" s="142"/>
    </row>
    <row r="713" ht="14.25" customHeight="1" spans="12:12" x14ac:dyDescent="0.25">
      <c r="L713" s="142"/>
    </row>
    <row r="714" ht="14.25" customHeight="1" spans="12:12" x14ac:dyDescent="0.25">
      <c r="L714" s="142"/>
    </row>
    <row r="715" ht="14.25" customHeight="1" spans="12:12" x14ac:dyDescent="0.25">
      <c r="L715" s="142"/>
    </row>
    <row r="716" ht="14.25" customHeight="1" spans="12:12" x14ac:dyDescent="0.25">
      <c r="L716" s="142"/>
    </row>
    <row r="717" ht="14.25" customHeight="1" spans="12:12" x14ac:dyDescent="0.25">
      <c r="L717" s="142"/>
    </row>
    <row r="718" ht="14.25" customHeight="1" spans="12:12" x14ac:dyDescent="0.25">
      <c r="L718" s="142"/>
    </row>
    <row r="719" ht="14.25" customHeight="1" spans="12:12" x14ac:dyDescent="0.25">
      <c r="L719" s="142"/>
    </row>
    <row r="720" ht="14.25" customHeight="1" spans="12:12" x14ac:dyDescent="0.25">
      <c r="L720" s="142"/>
    </row>
    <row r="721" ht="14.25" customHeight="1" spans="12:12" x14ac:dyDescent="0.25">
      <c r="L721" s="142"/>
    </row>
    <row r="722" ht="14.25" customHeight="1" spans="12:12" x14ac:dyDescent="0.25">
      <c r="L722" s="142"/>
    </row>
    <row r="723" ht="14.25" customHeight="1" spans="12:12" x14ac:dyDescent="0.25">
      <c r="L723" s="142"/>
    </row>
    <row r="724" ht="14.25" customHeight="1" spans="12:12" x14ac:dyDescent="0.25">
      <c r="L724" s="142"/>
    </row>
    <row r="725" ht="14.25" customHeight="1" spans="12:12" x14ac:dyDescent="0.25">
      <c r="L725" s="142"/>
    </row>
    <row r="726" ht="14.25" customHeight="1" spans="12:12" x14ac:dyDescent="0.25">
      <c r="L726" s="142"/>
    </row>
    <row r="727" ht="14.25" customHeight="1" spans="12:12" x14ac:dyDescent="0.25">
      <c r="L727" s="142"/>
    </row>
    <row r="728" ht="14.25" customHeight="1" spans="12:12" x14ac:dyDescent="0.25">
      <c r="L728" s="142"/>
    </row>
    <row r="729" ht="14.25" customHeight="1" spans="12:12" x14ac:dyDescent="0.25">
      <c r="L729" s="142"/>
    </row>
    <row r="730" ht="14.25" customHeight="1" spans="12:12" x14ac:dyDescent="0.25">
      <c r="L730" s="142"/>
    </row>
    <row r="731" ht="14.25" customHeight="1" spans="12:12" x14ac:dyDescent="0.25">
      <c r="L731" s="142"/>
    </row>
    <row r="732" ht="14.25" customHeight="1" spans="12:12" x14ac:dyDescent="0.25">
      <c r="L732" s="142"/>
    </row>
    <row r="733" ht="14.25" customHeight="1" spans="12:12" x14ac:dyDescent="0.25">
      <c r="L733" s="142"/>
    </row>
    <row r="734" ht="14.25" customHeight="1" spans="12:12" x14ac:dyDescent="0.25">
      <c r="L734" s="142"/>
    </row>
    <row r="735" ht="14.25" customHeight="1" spans="12:12" x14ac:dyDescent="0.25">
      <c r="L735" s="142"/>
    </row>
    <row r="736" ht="14.25" customHeight="1" spans="12:12" x14ac:dyDescent="0.25">
      <c r="L736" s="142"/>
    </row>
    <row r="737" ht="14.25" customHeight="1" spans="12:12" x14ac:dyDescent="0.25">
      <c r="L737" s="142"/>
    </row>
    <row r="738" ht="14.25" customHeight="1" spans="12:12" x14ac:dyDescent="0.25">
      <c r="L738" s="142"/>
    </row>
    <row r="739" ht="14.25" customHeight="1" spans="12:12" x14ac:dyDescent="0.25">
      <c r="L739" s="142"/>
    </row>
    <row r="740" ht="14.25" customHeight="1" spans="12:12" x14ac:dyDescent="0.25">
      <c r="L740" s="142"/>
    </row>
    <row r="741" ht="14.25" customHeight="1" spans="12:12" x14ac:dyDescent="0.25">
      <c r="L741" s="142"/>
    </row>
    <row r="742" ht="14.25" customHeight="1" spans="12:12" x14ac:dyDescent="0.25">
      <c r="L742" s="142"/>
    </row>
    <row r="743" ht="14.25" customHeight="1" spans="12:12" x14ac:dyDescent="0.25">
      <c r="L743" s="142"/>
    </row>
    <row r="744" ht="14.25" customHeight="1" spans="12:12" x14ac:dyDescent="0.25">
      <c r="L744" s="142"/>
    </row>
    <row r="745" ht="14.25" customHeight="1" spans="12:12" x14ac:dyDescent="0.25">
      <c r="L745" s="142"/>
    </row>
    <row r="746" ht="14.25" customHeight="1" spans="12:12" x14ac:dyDescent="0.25">
      <c r="L746" s="142"/>
    </row>
    <row r="747" ht="14.25" customHeight="1" spans="12:12" x14ac:dyDescent="0.25">
      <c r="L747" s="142"/>
    </row>
    <row r="748" ht="14.25" customHeight="1" spans="12:12" x14ac:dyDescent="0.25">
      <c r="L748" s="142"/>
    </row>
    <row r="749" ht="14.25" customHeight="1" spans="12:12" x14ac:dyDescent="0.25">
      <c r="L749" s="142"/>
    </row>
    <row r="750" ht="14.25" customHeight="1" spans="12:12" x14ac:dyDescent="0.25">
      <c r="L750" s="142"/>
    </row>
    <row r="751" ht="14.25" customHeight="1" spans="12:12" x14ac:dyDescent="0.25">
      <c r="L751" s="142"/>
    </row>
    <row r="752" ht="14.25" customHeight="1" spans="12:12" x14ac:dyDescent="0.25">
      <c r="L752" s="142"/>
    </row>
    <row r="753" ht="14.25" customHeight="1" spans="12:12" x14ac:dyDescent="0.25">
      <c r="L753" s="142"/>
    </row>
    <row r="754" ht="14.25" customHeight="1" spans="12:12" x14ac:dyDescent="0.25">
      <c r="L754" s="142"/>
    </row>
    <row r="755" ht="14.25" customHeight="1" spans="12:12" x14ac:dyDescent="0.25">
      <c r="L755" s="142"/>
    </row>
    <row r="756" ht="14.25" customHeight="1" spans="12:12" x14ac:dyDescent="0.25">
      <c r="L756" s="142"/>
    </row>
    <row r="757" ht="14.25" customHeight="1" spans="12:12" x14ac:dyDescent="0.25">
      <c r="L757" s="142"/>
    </row>
    <row r="758" ht="14.25" customHeight="1" spans="12:12" x14ac:dyDescent="0.25">
      <c r="L758" s="142"/>
    </row>
    <row r="759" ht="14.25" customHeight="1" spans="12:12" x14ac:dyDescent="0.25">
      <c r="L759" s="142"/>
    </row>
    <row r="760" ht="14.25" customHeight="1" spans="12:12" x14ac:dyDescent="0.25">
      <c r="L760" s="142"/>
    </row>
    <row r="761" ht="14.25" customHeight="1" spans="12:12" x14ac:dyDescent="0.25">
      <c r="L761" s="142"/>
    </row>
    <row r="762" ht="14.25" customHeight="1" spans="12:12" x14ac:dyDescent="0.25">
      <c r="L762" s="142"/>
    </row>
    <row r="763" ht="14.25" customHeight="1" spans="12:12" x14ac:dyDescent="0.25">
      <c r="L763" s="142"/>
    </row>
    <row r="764" ht="14.25" customHeight="1" spans="12:12" x14ac:dyDescent="0.25">
      <c r="L764" s="142"/>
    </row>
    <row r="765" ht="14.25" customHeight="1" spans="12:12" x14ac:dyDescent="0.25">
      <c r="L765" s="142"/>
    </row>
    <row r="766" ht="14.25" customHeight="1" spans="12:12" x14ac:dyDescent="0.25">
      <c r="L766" s="142"/>
    </row>
    <row r="767" ht="14.25" customHeight="1" spans="12:12" x14ac:dyDescent="0.25">
      <c r="L767" s="142"/>
    </row>
    <row r="768" ht="14.25" customHeight="1" spans="12:12" x14ac:dyDescent="0.25">
      <c r="L768" s="142"/>
    </row>
    <row r="769" ht="14.25" customHeight="1" spans="12:12" x14ac:dyDescent="0.25">
      <c r="L769" s="142"/>
    </row>
    <row r="770" ht="14.25" customHeight="1" spans="12:12" x14ac:dyDescent="0.25">
      <c r="L770" s="142"/>
    </row>
    <row r="771" ht="14.25" customHeight="1" spans="12:12" x14ac:dyDescent="0.25">
      <c r="L771" s="142"/>
    </row>
    <row r="772" ht="14.25" customHeight="1" spans="12:12" x14ac:dyDescent="0.25">
      <c r="L772" s="142"/>
    </row>
    <row r="773" ht="14.25" customHeight="1" spans="12:12" x14ac:dyDescent="0.25">
      <c r="L773" s="142"/>
    </row>
    <row r="774" ht="14.25" customHeight="1" spans="12:12" x14ac:dyDescent="0.25">
      <c r="L774" s="142"/>
    </row>
    <row r="775" ht="14.25" customHeight="1" spans="12:12" x14ac:dyDescent="0.25">
      <c r="L775" s="142"/>
    </row>
    <row r="776" ht="14.25" customHeight="1" spans="12:12" x14ac:dyDescent="0.25">
      <c r="L776" s="142"/>
    </row>
    <row r="777" ht="14.25" customHeight="1" spans="12:12" x14ac:dyDescent="0.25">
      <c r="L777" s="142"/>
    </row>
    <row r="778" ht="14.25" customHeight="1" spans="12:12" x14ac:dyDescent="0.25">
      <c r="L778" s="142"/>
    </row>
    <row r="779" ht="14.25" customHeight="1" spans="12:12" x14ac:dyDescent="0.25">
      <c r="L779" s="142"/>
    </row>
    <row r="780" ht="14.25" customHeight="1" spans="12:12" x14ac:dyDescent="0.25">
      <c r="L780" s="142"/>
    </row>
    <row r="781" ht="14.25" customHeight="1" spans="12:12" x14ac:dyDescent="0.25">
      <c r="L781" s="142"/>
    </row>
    <row r="782" ht="14.25" customHeight="1" spans="12:12" x14ac:dyDescent="0.25">
      <c r="L782" s="142"/>
    </row>
    <row r="783" ht="14.25" customHeight="1" spans="12:12" x14ac:dyDescent="0.25">
      <c r="L783" s="142"/>
    </row>
    <row r="784" ht="14.25" customHeight="1" spans="12:12" x14ac:dyDescent="0.25">
      <c r="L784" s="142"/>
    </row>
    <row r="785" ht="14.25" customHeight="1" spans="12:12" x14ac:dyDescent="0.25">
      <c r="L785" s="142"/>
    </row>
    <row r="786" ht="14.25" customHeight="1" spans="12:12" x14ac:dyDescent="0.25">
      <c r="L786" s="142"/>
    </row>
    <row r="787" ht="14.25" customHeight="1" spans="12:12" x14ac:dyDescent="0.25">
      <c r="L787" s="142"/>
    </row>
    <row r="788" ht="14.25" customHeight="1" spans="12:12" x14ac:dyDescent="0.25">
      <c r="L788" s="142"/>
    </row>
    <row r="789" ht="14.25" customHeight="1" spans="12:12" x14ac:dyDescent="0.25">
      <c r="L789" s="142"/>
    </row>
    <row r="790" ht="14.25" customHeight="1" spans="12:12" x14ac:dyDescent="0.25">
      <c r="L790" s="142"/>
    </row>
    <row r="791" ht="14.25" customHeight="1" spans="12:12" x14ac:dyDescent="0.25">
      <c r="L791" s="142"/>
    </row>
    <row r="792" ht="14.25" customHeight="1" spans="12:12" x14ac:dyDescent="0.25">
      <c r="L792" s="142"/>
    </row>
    <row r="793" ht="14.25" customHeight="1" spans="12:12" x14ac:dyDescent="0.25">
      <c r="L793" s="142"/>
    </row>
    <row r="794" ht="14.25" customHeight="1" spans="12:12" x14ac:dyDescent="0.25">
      <c r="L794" s="142"/>
    </row>
    <row r="795" ht="14.25" customHeight="1" spans="12:12" x14ac:dyDescent="0.25">
      <c r="L795" s="142"/>
    </row>
    <row r="796" ht="14.25" customHeight="1" spans="12:12" x14ac:dyDescent="0.25">
      <c r="L796" s="142"/>
    </row>
    <row r="797" ht="14.25" customHeight="1" spans="12:12" x14ac:dyDescent="0.25">
      <c r="L797" s="142"/>
    </row>
    <row r="798" ht="14.25" customHeight="1" spans="12:12" x14ac:dyDescent="0.25">
      <c r="L798" s="142"/>
    </row>
    <row r="799" ht="14.25" customHeight="1" spans="12:12" x14ac:dyDescent="0.25">
      <c r="L799" s="142"/>
    </row>
    <row r="800" ht="14.25" customHeight="1" spans="12:12" x14ac:dyDescent="0.25">
      <c r="L800" s="142"/>
    </row>
    <row r="801" ht="14.25" customHeight="1" spans="12:12" x14ac:dyDescent="0.25">
      <c r="L801" s="142"/>
    </row>
    <row r="802" ht="14.25" customHeight="1" spans="12:12" x14ac:dyDescent="0.25">
      <c r="L802" s="142"/>
    </row>
    <row r="803" ht="14.25" customHeight="1" spans="12:12" x14ac:dyDescent="0.25">
      <c r="L803" s="142"/>
    </row>
    <row r="804" ht="14.25" customHeight="1" spans="12:12" x14ac:dyDescent="0.25">
      <c r="L804" s="142"/>
    </row>
    <row r="805" ht="14.25" customHeight="1" spans="12:12" x14ac:dyDescent="0.25">
      <c r="L805" s="142"/>
    </row>
    <row r="806" ht="14.25" customHeight="1" spans="12:12" x14ac:dyDescent="0.25">
      <c r="L806" s="142"/>
    </row>
    <row r="807" ht="14.25" customHeight="1" spans="12:12" x14ac:dyDescent="0.25">
      <c r="L807" s="142"/>
    </row>
    <row r="808" ht="14.25" customHeight="1" spans="12:12" x14ac:dyDescent="0.25">
      <c r="L808" s="142"/>
    </row>
    <row r="809" ht="14.25" customHeight="1" spans="12:12" x14ac:dyDescent="0.25">
      <c r="L809" s="142"/>
    </row>
    <row r="810" ht="14.25" customHeight="1" spans="12:12" x14ac:dyDescent="0.25">
      <c r="L810" s="142"/>
    </row>
    <row r="811" ht="14.25" customHeight="1" spans="12:12" x14ac:dyDescent="0.25">
      <c r="L811" s="142"/>
    </row>
    <row r="812" ht="14.25" customHeight="1" spans="12:12" x14ac:dyDescent="0.25">
      <c r="L812" s="142"/>
    </row>
    <row r="813" ht="14.25" customHeight="1" spans="12:12" x14ac:dyDescent="0.25">
      <c r="L813" s="142"/>
    </row>
    <row r="814" ht="14.25" customHeight="1" spans="12:12" x14ac:dyDescent="0.25">
      <c r="L814" s="142"/>
    </row>
    <row r="815" ht="14.25" customHeight="1" spans="12:12" x14ac:dyDescent="0.25">
      <c r="L815" s="142"/>
    </row>
    <row r="816" ht="14.25" customHeight="1" spans="12:12" x14ac:dyDescent="0.25">
      <c r="L816" s="142"/>
    </row>
    <row r="817" ht="14.25" customHeight="1" spans="12:12" x14ac:dyDescent="0.25">
      <c r="L817" s="142"/>
    </row>
    <row r="818" ht="14.25" customHeight="1" spans="12:12" x14ac:dyDescent="0.25">
      <c r="L818" s="142"/>
    </row>
    <row r="819" ht="14.25" customHeight="1" spans="12:12" x14ac:dyDescent="0.25">
      <c r="L819" s="142"/>
    </row>
    <row r="820" ht="14.25" customHeight="1" spans="12:12" x14ac:dyDescent="0.25">
      <c r="L820" s="142"/>
    </row>
    <row r="821" ht="14.25" customHeight="1" spans="12:12" x14ac:dyDescent="0.25">
      <c r="L821" s="142"/>
    </row>
    <row r="822" ht="14.25" customHeight="1" spans="12:12" x14ac:dyDescent="0.25">
      <c r="L822" s="142"/>
    </row>
    <row r="823" ht="14.25" customHeight="1" spans="12:12" x14ac:dyDescent="0.25">
      <c r="L823" s="142"/>
    </row>
    <row r="824" ht="14.25" customHeight="1" spans="12:12" x14ac:dyDescent="0.25">
      <c r="L824" s="142"/>
    </row>
    <row r="825" ht="14.25" customHeight="1" spans="12:12" x14ac:dyDescent="0.25">
      <c r="L825" s="142"/>
    </row>
    <row r="826" ht="14.25" customHeight="1" spans="12:12" x14ac:dyDescent="0.25">
      <c r="L826" s="142"/>
    </row>
    <row r="827" ht="14.25" customHeight="1" spans="12:12" x14ac:dyDescent="0.25">
      <c r="L827" s="142"/>
    </row>
    <row r="828" ht="14.25" customHeight="1" spans="12:12" x14ac:dyDescent="0.25">
      <c r="L828" s="142"/>
    </row>
    <row r="829" ht="14.25" customHeight="1" spans="12:12" x14ac:dyDescent="0.25">
      <c r="L829" s="142"/>
    </row>
    <row r="830" ht="14.25" customHeight="1" spans="12:12" x14ac:dyDescent="0.25">
      <c r="L830" s="142"/>
    </row>
    <row r="831" ht="14.25" customHeight="1" spans="12:12" x14ac:dyDescent="0.25">
      <c r="L831" s="142"/>
    </row>
    <row r="832" ht="14.25" customHeight="1" spans="12:12" x14ac:dyDescent="0.25">
      <c r="L832" s="142"/>
    </row>
    <row r="833" ht="14.25" customHeight="1" spans="12:12" x14ac:dyDescent="0.25">
      <c r="L833" s="142"/>
    </row>
    <row r="834" ht="14.25" customHeight="1" spans="12:12" x14ac:dyDescent="0.25">
      <c r="L834" s="142"/>
    </row>
    <row r="835" ht="14.25" customHeight="1" spans="12:12" x14ac:dyDescent="0.25">
      <c r="L835" s="142"/>
    </row>
    <row r="836" ht="14.25" customHeight="1" spans="12:12" x14ac:dyDescent="0.25">
      <c r="L836" s="142"/>
    </row>
    <row r="837" ht="14.25" customHeight="1" spans="12:12" x14ac:dyDescent="0.25">
      <c r="L837" s="142"/>
    </row>
    <row r="838" ht="14.25" customHeight="1" spans="12:12" x14ac:dyDescent="0.25">
      <c r="L838" s="142"/>
    </row>
    <row r="839" ht="14.25" customHeight="1" spans="12:12" x14ac:dyDescent="0.25">
      <c r="L839" s="142"/>
    </row>
    <row r="840" ht="14.25" customHeight="1" spans="12:12" x14ac:dyDescent="0.25">
      <c r="L840" s="142"/>
    </row>
    <row r="841" ht="14.25" customHeight="1" spans="12:12" x14ac:dyDescent="0.25">
      <c r="L841" s="142"/>
    </row>
    <row r="842" ht="14.25" customHeight="1" spans="12:12" x14ac:dyDescent="0.25">
      <c r="L842" s="142"/>
    </row>
    <row r="843" ht="14.25" customHeight="1" spans="12:12" x14ac:dyDescent="0.25">
      <c r="L843" s="142"/>
    </row>
    <row r="844" ht="14.25" customHeight="1" spans="12:12" x14ac:dyDescent="0.25">
      <c r="L844" s="142"/>
    </row>
    <row r="845" ht="14.25" customHeight="1" spans="12:12" x14ac:dyDescent="0.25">
      <c r="L845" s="142"/>
    </row>
    <row r="846" ht="14.25" customHeight="1" spans="12:12" x14ac:dyDescent="0.25">
      <c r="L846" s="142"/>
    </row>
    <row r="847" ht="14.25" customHeight="1" spans="12:12" x14ac:dyDescent="0.25">
      <c r="L847" s="142"/>
    </row>
    <row r="848" ht="14.25" customHeight="1" spans="12:12" x14ac:dyDescent="0.25">
      <c r="L848" s="142"/>
    </row>
    <row r="849" ht="14.25" customHeight="1" spans="12:12" x14ac:dyDescent="0.25">
      <c r="L849" s="142"/>
    </row>
    <row r="850" ht="14.25" customHeight="1" spans="12:12" x14ac:dyDescent="0.25">
      <c r="L850" s="142"/>
    </row>
    <row r="851" ht="14.25" customHeight="1" spans="12:12" x14ac:dyDescent="0.25">
      <c r="L851" s="142"/>
    </row>
    <row r="852" ht="14.25" customHeight="1" spans="12:12" x14ac:dyDescent="0.25">
      <c r="L852" s="142"/>
    </row>
    <row r="853" ht="14.25" customHeight="1" spans="12:12" x14ac:dyDescent="0.25">
      <c r="L853" s="142"/>
    </row>
    <row r="854" ht="14.25" customHeight="1" spans="12:12" x14ac:dyDescent="0.25">
      <c r="L854" s="142"/>
    </row>
    <row r="855" ht="14.25" customHeight="1" spans="12:12" x14ac:dyDescent="0.25">
      <c r="L855" s="142"/>
    </row>
    <row r="856" ht="14.25" customHeight="1" spans="12:12" x14ac:dyDescent="0.25">
      <c r="L856" s="142"/>
    </row>
    <row r="857" ht="14.25" customHeight="1" spans="12:12" x14ac:dyDescent="0.25">
      <c r="L857" s="142"/>
    </row>
    <row r="858" ht="14.25" customHeight="1" spans="12:12" x14ac:dyDescent="0.25">
      <c r="L858" s="142"/>
    </row>
    <row r="859" ht="14.25" customHeight="1" spans="12:12" x14ac:dyDescent="0.25">
      <c r="L859" s="142"/>
    </row>
    <row r="860" ht="14.25" customHeight="1" spans="12:12" x14ac:dyDescent="0.25">
      <c r="L860" s="142"/>
    </row>
    <row r="861" ht="14.25" customHeight="1" spans="12:12" x14ac:dyDescent="0.25">
      <c r="L861" s="142"/>
    </row>
    <row r="862" ht="14.25" customHeight="1" spans="12:12" x14ac:dyDescent="0.25">
      <c r="L862" s="142"/>
    </row>
    <row r="863" ht="14.25" customHeight="1" spans="12:12" x14ac:dyDescent="0.25">
      <c r="L863" s="142"/>
    </row>
    <row r="864" ht="14.25" customHeight="1" spans="12:12" x14ac:dyDescent="0.25">
      <c r="L864" s="142"/>
    </row>
    <row r="865" ht="14.25" customHeight="1" spans="12:12" x14ac:dyDescent="0.25">
      <c r="L865" s="142"/>
    </row>
    <row r="866" ht="14.25" customHeight="1" spans="12:12" x14ac:dyDescent="0.25">
      <c r="L866" s="142"/>
    </row>
    <row r="867" ht="14.25" customHeight="1" spans="12:12" x14ac:dyDescent="0.25">
      <c r="L867" s="142"/>
    </row>
    <row r="868" ht="14.25" customHeight="1" spans="12:12" x14ac:dyDescent="0.25">
      <c r="L868" s="142"/>
    </row>
    <row r="869" ht="14.25" customHeight="1" spans="12:12" x14ac:dyDescent="0.25">
      <c r="L869" s="142"/>
    </row>
    <row r="870" ht="14.25" customHeight="1" spans="12:12" x14ac:dyDescent="0.25">
      <c r="L870" s="142"/>
    </row>
    <row r="871" ht="14.25" customHeight="1" spans="12:12" x14ac:dyDescent="0.25">
      <c r="L871" s="142"/>
    </row>
    <row r="872" ht="14.25" customHeight="1" spans="12:12" x14ac:dyDescent="0.25">
      <c r="L872" s="142"/>
    </row>
    <row r="873" ht="14.25" customHeight="1" spans="12:12" x14ac:dyDescent="0.25">
      <c r="L873" s="142"/>
    </row>
    <row r="874" ht="14.25" customHeight="1" spans="12:12" x14ac:dyDescent="0.25">
      <c r="L874" s="142"/>
    </row>
    <row r="875" ht="14.25" customHeight="1" spans="12:12" x14ac:dyDescent="0.25">
      <c r="L875" s="142"/>
    </row>
    <row r="876" ht="14.25" customHeight="1" spans="12:12" x14ac:dyDescent="0.25">
      <c r="L876" s="142"/>
    </row>
    <row r="877" ht="14.25" customHeight="1" spans="12:12" x14ac:dyDescent="0.25">
      <c r="L877" s="142"/>
    </row>
    <row r="878" ht="14.25" customHeight="1" spans="12:12" x14ac:dyDescent="0.25">
      <c r="L878" s="142"/>
    </row>
    <row r="879" ht="14.25" customHeight="1" spans="12:12" x14ac:dyDescent="0.25">
      <c r="L879" s="142"/>
    </row>
    <row r="880" ht="14.25" customHeight="1" spans="12:12" x14ac:dyDescent="0.25">
      <c r="L880" s="142"/>
    </row>
    <row r="881" ht="14.25" customHeight="1" spans="12:12" x14ac:dyDescent="0.25">
      <c r="L881" s="142"/>
    </row>
    <row r="882" ht="14.25" customHeight="1" spans="12:12" x14ac:dyDescent="0.25">
      <c r="L882" s="142"/>
    </row>
    <row r="883" ht="14.25" customHeight="1" spans="12:12" x14ac:dyDescent="0.25">
      <c r="L883" s="142"/>
    </row>
    <row r="884" ht="14.25" customHeight="1" spans="12:12" x14ac:dyDescent="0.25">
      <c r="L884" s="142"/>
    </row>
    <row r="885" ht="14.25" customHeight="1" spans="12:12" x14ac:dyDescent="0.25">
      <c r="L885" s="142"/>
    </row>
    <row r="886" ht="14.25" customHeight="1" spans="12:12" x14ac:dyDescent="0.25">
      <c r="L886" s="142"/>
    </row>
    <row r="887" ht="14.25" customHeight="1" spans="12:12" x14ac:dyDescent="0.25">
      <c r="L887" s="142"/>
    </row>
    <row r="888" ht="14.25" customHeight="1" spans="12:12" x14ac:dyDescent="0.25">
      <c r="L888" s="142"/>
    </row>
    <row r="889" ht="14.25" customHeight="1" spans="12:12" x14ac:dyDescent="0.25">
      <c r="L889" s="142"/>
    </row>
    <row r="890" ht="14.25" customHeight="1" spans="12:12" x14ac:dyDescent="0.25">
      <c r="L890" s="142"/>
    </row>
    <row r="891" ht="14.25" customHeight="1" spans="12:12" x14ac:dyDescent="0.25">
      <c r="L891" s="142"/>
    </row>
    <row r="892" ht="14.25" customHeight="1" spans="12:12" x14ac:dyDescent="0.25">
      <c r="L892" s="142"/>
    </row>
    <row r="893" ht="14.25" customHeight="1" spans="12:12" x14ac:dyDescent="0.25">
      <c r="L893" s="142"/>
    </row>
    <row r="894" ht="14.25" customHeight="1" spans="12:12" x14ac:dyDescent="0.25">
      <c r="L894" s="142"/>
    </row>
    <row r="895" ht="14.25" customHeight="1" spans="12:12" x14ac:dyDescent="0.25">
      <c r="L895" s="142"/>
    </row>
    <row r="896" ht="14.25" customHeight="1" spans="12:12" x14ac:dyDescent="0.25">
      <c r="L896" s="142"/>
    </row>
    <row r="897" ht="14.25" customHeight="1" spans="12:12" x14ac:dyDescent="0.25">
      <c r="L897" s="142"/>
    </row>
    <row r="898" ht="14.25" customHeight="1" spans="12:12" x14ac:dyDescent="0.25">
      <c r="L898" s="142"/>
    </row>
    <row r="899" ht="14.25" customHeight="1" spans="12:12" x14ac:dyDescent="0.25">
      <c r="L899" s="142"/>
    </row>
    <row r="900" ht="14.25" customHeight="1" spans="12:12" x14ac:dyDescent="0.25">
      <c r="L900" s="142"/>
    </row>
    <row r="901" ht="14.25" customHeight="1" spans="12:12" x14ac:dyDescent="0.25">
      <c r="L901" s="142"/>
    </row>
    <row r="902" ht="14.25" customHeight="1" spans="12:12" x14ac:dyDescent="0.25">
      <c r="L902" s="142"/>
    </row>
    <row r="903" ht="14.25" customHeight="1" spans="12:12" x14ac:dyDescent="0.25">
      <c r="L903" s="142"/>
    </row>
    <row r="904" ht="14.25" customHeight="1" spans="12:12" x14ac:dyDescent="0.25">
      <c r="L904" s="142"/>
    </row>
    <row r="905" ht="14.25" customHeight="1" spans="12:12" x14ac:dyDescent="0.25">
      <c r="L905" s="142"/>
    </row>
    <row r="906" ht="14.25" customHeight="1" spans="12:12" x14ac:dyDescent="0.25">
      <c r="L906" s="142"/>
    </row>
    <row r="907" ht="14.25" customHeight="1" spans="12:12" x14ac:dyDescent="0.25">
      <c r="L907" s="142"/>
    </row>
    <row r="908" ht="14.25" customHeight="1" spans="12:12" x14ac:dyDescent="0.25">
      <c r="L908" s="142"/>
    </row>
    <row r="909" ht="14.25" customHeight="1" spans="12:12" x14ac:dyDescent="0.25">
      <c r="L909" s="142"/>
    </row>
    <row r="910" ht="14.25" customHeight="1" spans="12:12" x14ac:dyDescent="0.25">
      <c r="L910" s="142"/>
    </row>
    <row r="911" ht="14.25" customHeight="1" spans="12:12" x14ac:dyDescent="0.25">
      <c r="L911" s="142"/>
    </row>
    <row r="912" ht="14.25" customHeight="1" spans="12:12" x14ac:dyDescent="0.25">
      <c r="L912" s="142"/>
    </row>
    <row r="913" ht="14.25" customHeight="1" spans="12:12" x14ac:dyDescent="0.25">
      <c r="L913" s="142"/>
    </row>
    <row r="914" ht="14.25" customHeight="1" spans="12:12" x14ac:dyDescent="0.25">
      <c r="L914" s="142"/>
    </row>
    <row r="915" ht="14.25" customHeight="1" spans="12:12" x14ac:dyDescent="0.25">
      <c r="L915" s="142"/>
    </row>
    <row r="916" ht="14.25" customHeight="1" spans="12:12" x14ac:dyDescent="0.25">
      <c r="L916" s="142"/>
    </row>
    <row r="917" ht="14.25" customHeight="1" spans="12:12" x14ac:dyDescent="0.25">
      <c r="L917" s="142"/>
    </row>
    <row r="918" ht="14.25" customHeight="1" spans="12:12" x14ac:dyDescent="0.25">
      <c r="L918" s="142"/>
    </row>
    <row r="919" ht="14.25" customHeight="1" spans="12:12" x14ac:dyDescent="0.25">
      <c r="L919" s="142"/>
    </row>
    <row r="920" ht="14.25" customHeight="1" spans="12:12" x14ac:dyDescent="0.25">
      <c r="L920" s="142"/>
    </row>
    <row r="921" ht="14.25" customHeight="1" spans="12:12" x14ac:dyDescent="0.25">
      <c r="L921" s="142"/>
    </row>
    <row r="922" ht="14.25" customHeight="1" spans="12:12" x14ac:dyDescent="0.25">
      <c r="L922" s="142"/>
    </row>
    <row r="923" ht="14.25" customHeight="1" spans="12:12" x14ac:dyDescent="0.25">
      <c r="L923" s="142"/>
    </row>
    <row r="924" ht="14.25" customHeight="1" spans="12:12" x14ac:dyDescent="0.25">
      <c r="L924" s="142"/>
    </row>
    <row r="925" ht="14.25" customHeight="1" spans="12:12" x14ac:dyDescent="0.25">
      <c r="L925" s="142"/>
    </row>
    <row r="926" ht="14.25" customHeight="1" spans="12:12" x14ac:dyDescent="0.25">
      <c r="L926" s="142"/>
    </row>
    <row r="927" ht="14.25" customHeight="1" spans="12:12" x14ac:dyDescent="0.25">
      <c r="L927" s="142"/>
    </row>
    <row r="928" ht="14.25" customHeight="1" spans="12:12" x14ac:dyDescent="0.25">
      <c r="L928" s="142"/>
    </row>
    <row r="929" ht="14.25" customHeight="1" spans="12:12" x14ac:dyDescent="0.25">
      <c r="L929" s="142"/>
    </row>
    <row r="930" ht="14.25" customHeight="1" spans="12:12" x14ac:dyDescent="0.25">
      <c r="L930" s="142"/>
    </row>
    <row r="931" ht="14.25" customHeight="1" spans="12:12" x14ac:dyDescent="0.25">
      <c r="L931" s="142"/>
    </row>
    <row r="932" ht="14.25" customHeight="1" spans="12:12" x14ac:dyDescent="0.25">
      <c r="L932" s="142"/>
    </row>
    <row r="933" ht="14.25" customHeight="1" spans="12:12" x14ac:dyDescent="0.25">
      <c r="L933" s="142"/>
    </row>
    <row r="934" ht="14.25" customHeight="1" spans="12:12" x14ac:dyDescent="0.25">
      <c r="L934" s="142"/>
    </row>
    <row r="935" ht="14.25" customHeight="1" spans="12:12" x14ac:dyDescent="0.25">
      <c r="L935" s="142"/>
    </row>
    <row r="936" ht="14.25" customHeight="1" spans="12:12" x14ac:dyDescent="0.25">
      <c r="L936" s="142"/>
    </row>
    <row r="937" ht="14.25" customHeight="1" spans="12:12" x14ac:dyDescent="0.25">
      <c r="L937" s="142"/>
    </row>
    <row r="938" ht="14.25" customHeight="1" spans="12:12" x14ac:dyDescent="0.25">
      <c r="L938" s="142"/>
    </row>
    <row r="939" ht="14.25" customHeight="1" spans="12:12" x14ac:dyDescent="0.25">
      <c r="L939" s="142"/>
    </row>
    <row r="940" ht="14.25" customHeight="1" spans="12:12" x14ac:dyDescent="0.25">
      <c r="L940" s="142"/>
    </row>
    <row r="941" ht="14.25" customHeight="1" spans="12:12" x14ac:dyDescent="0.25">
      <c r="L941" s="142"/>
    </row>
    <row r="942" ht="14.25" customHeight="1" spans="12:12" x14ac:dyDescent="0.25">
      <c r="L942" s="142"/>
    </row>
    <row r="943" ht="14.25" customHeight="1" spans="12:12" x14ac:dyDescent="0.25">
      <c r="L943" s="142"/>
    </row>
    <row r="944" ht="14.25" customHeight="1" spans="12:12" x14ac:dyDescent="0.25">
      <c r="L944" s="142"/>
    </row>
    <row r="945" ht="14.25" customHeight="1" spans="12:12" x14ac:dyDescent="0.25">
      <c r="L945" s="142"/>
    </row>
    <row r="946" ht="14.25" customHeight="1" spans="12:12" x14ac:dyDescent="0.25">
      <c r="L946" s="142"/>
    </row>
    <row r="947" ht="14.25" customHeight="1" spans="12:12" x14ac:dyDescent="0.25">
      <c r="L947" s="142"/>
    </row>
    <row r="948" ht="14.25" customHeight="1" spans="12:12" x14ac:dyDescent="0.25">
      <c r="L948" s="142"/>
    </row>
    <row r="949" ht="14.25" customHeight="1" spans="12:12" x14ac:dyDescent="0.25">
      <c r="L949" s="142"/>
    </row>
    <row r="950" ht="14.25" customHeight="1" spans="12:12" x14ac:dyDescent="0.25">
      <c r="L950" s="142"/>
    </row>
    <row r="951" ht="14.25" customHeight="1" spans="12:12" x14ac:dyDescent="0.25">
      <c r="L951" s="142"/>
    </row>
    <row r="952" ht="14.25" customHeight="1" spans="12:12" x14ac:dyDescent="0.25">
      <c r="L952" s="142"/>
    </row>
    <row r="953" ht="14.25" customHeight="1" spans="12:12" x14ac:dyDescent="0.25">
      <c r="L953" s="142"/>
    </row>
    <row r="954" ht="14.25" customHeight="1" spans="12:12" x14ac:dyDescent="0.25">
      <c r="L954" s="142"/>
    </row>
    <row r="955" ht="14.25" customHeight="1" spans="12:12" x14ac:dyDescent="0.25">
      <c r="L955" s="142"/>
    </row>
    <row r="956" ht="14.25" customHeight="1" spans="12:12" x14ac:dyDescent="0.25">
      <c r="L956" s="142"/>
    </row>
    <row r="957" ht="14.25" customHeight="1" spans="12:12" x14ac:dyDescent="0.25">
      <c r="L957" s="142"/>
    </row>
    <row r="958" ht="14.25" customHeight="1" spans="12:12" x14ac:dyDescent="0.25">
      <c r="L958" s="142"/>
    </row>
    <row r="959" ht="14.25" customHeight="1" spans="12:12" x14ac:dyDescent="0.25">
      <c r="L959" s="142"/>
    </row>
    <row r="960" ht="14.25" customHeight="1" spans="12:12" x14ac:dyDescent="0.25">
      <c r="L960" s="142"/>
    </row>
    <row r="961" ht="14.25" customHeight="1" spans="12:12" x14ac:dyDescent="0.25">
      <c r="L961" s="142"/>
    </row>
    <row r="962" ht="14.25" customHeight="1" spans="12:12" x14ac:dyDescent="0.25">
      <c r="L962" s="142"/>
    </row>
    <row r="963" ht="14.25" customHeight="1" spans="12:12" x14ac:dyDescent="0.25">
      <c r="L963" s="142"/>
    </row>
    <row r="964" ht="14.25" customHeight="1" spans="12:12" x14ac:dyDescent="0.25">
      <c r="L964" s="142"/>
    </row>
    <row r="965" ht="14.25" customHeight="1" spans="12:12" x14ac:dyDescent="0.25">
      <c r="L965" s="142"/>
    </row>
    <row r="966" ht="14.25" customHeight="1" spans="12:12" x14ac:dyDescent="0.25">
      <c r="L966" s="142"/>
    </row>
    <row r="967" ht="14.25" customHeight="1" spans="12:12" x14ac:dyDescent="0.25">
      <c r="L967" s="142"/>
    </row>
    <row r="968" ht="14.25" customHeight="1" spans="12:12" x14ac:dyDescent="0.25">
      <c r="L968" s="142"/>
    </row>
    <row r="969" ht="14.25" customHeight="1" spans="12:12" x14ac:dyDescent="0.25">
      <c r="L969" s="142"/>
    </row>
    <row r="970" ht="14.25" customHeight="1" spans="12:12" x14ac:dyDescent="0.25">
      <c r="L970" s="142"/>
    </row>
    <row r="971" ht="14.25" customHeight="1" spans="12:12" x14ac:dyDescent="0.25">
      <c r="L971" s="142"/>
    </row>
    <row r="972" ht="14.25" customHeight="1" spans="12:12" x14ac:dyDescent="0.25">
      <c r="L972" s="142"/>
    </row>
    <row r="973" ht="14.25" customHeight="1" spans="12:12" x14ac:dyDescent="0.25">
      <c r="L973" s="142"/>
    </row>
    <row r="974" ht="14.25" customHeight="1" spans="12:12" x14ac:dyDescent="0.25">
      <c r="L974" s="142"/>
    </row>
    <row r="975" ht="14.25" customHeight="1" spans="12:12" x14ac:dyDescent="0.25">
      <c r="L975" s="142"/>
    </row>
    <row r="976" ht="14.25" customHeight="1" spans="12:12" x14ac:dyDescent="0.25">
      <c r="L976" s="142"/>
    </row>
    <row r="977" ht="14.25" customHeight="1" spans="12:12" x14ac:dyDescent="0.25">
      <c r="L977" s="142"/>
    </row>
    <row r="978" ht="14.25" customHeight="1" spans="12:12" x14ac:dyDescent="0.25">
      <c r="L978" s="142"/>
    </row>
    <row r="979" ht="14.25" customHeight="1" spans="12:12" x14ac:dyDescent="0.25">
      <c r="L979" s="142"/>
    </row>
    <row r="980" ht="14.25" customHeight="1" spans="12:12" x14ac:dyDescent="0.25">
      <c r="L980" s="142"/>
    </row>
    <row r="981" ht="14.25" customHeight="1" spans="12:12" x14ac:dyDescent="0.25">
      <c r="L981" s="142"/>
    </row>
    <row r="982" ht="14.25" customHeight="1" spans="12:12" x14ac:dyDescent="0.25">
      <c r="L982" s="142"/>
    </row>
    <row r="983" ht="14.25" customHeight="1" spans="12:12" x14ac:dyDescent="0.25">
      <c r="L983" s="142"/>
    </row>
    <row r="984" ht="14.25" customHeight="1" spans="12:12" x14ac:dyDescent="0.25">
      <c r="L984" s="142"/>
    </row>
    <row r="985" ht="14.25" customHeight="1" spans="12:12" x14ac:dyDescent="0.25">
      <c r="L985" s="142"/>
    </row>
    <row r="986" ht="14.25" customHeight="1" spans="12:12" x14ac:dyDescent="0.25">
      <c r="L986" s="142"/>
    </row>
    <row r="987" ht="14.25" customHeight="1" spans="12:12" x14ac:dyDescent="0.25">
      <c r="L987" s="142"/>
    </row>
    <row r="988" ht="14.25" customHeight="1" spans="12:12" x14ac:dyDescent="0.25">
      <c r="L988" s="142"/>
    </row>
    <row r="989" ht="14.25" customHeight="1" spans="12:12" x14ac:dyDescent="0.25">
      <c r="L989" s="142"/>
    </row>
    <row r="990" ht="14.25" customHeight="1" spans="12:12" x14ac:dyDescent="0.25">
      <c r="L990" s="142"/>
    </row>
    <row r="991" ht="14.25" customHeight="1" spans="12:12" x14ac:dyDescent="0.25">
      <c r="L991" s="142"/>
    </row>
    <row r="992" ht="14.25" customHeight="1" spans="12:12" x14ac:dyDescent="0.25">
      <c r="L992" s="142"/>
    </row>
    <row r="993" ht="14.25" customHeight="1" spans="12:12" x14ac:dyDescent="0.25">
      <c r="L993" s="142"/>
    </row>
    <row r="994" ht="14.25" customHeight="1" spans="12:12" x14ac:dyDescent="0.25">
      <c r="L994" s="142"/>
    </row>
    <row r="995" ht="14.25" customHeight="1" spans="12:12" x14ac:dyDescent="0.25">
      <c r="L995" s="142"/>
    </row>
    <row r="996" ht="14.25" customHeight="1" spans="12:12" x14ac:dyDescent="0.25">
      <c r="L996" s="142"/>
    </row>
    <row r="997" ht="14.25" customHeight="1" spans="12:12" x14ac:dyDescent="0.25">
      <c r="L997" s="142"/>
    </row>
    <row r="998" ht="14.25" customHeight="1" spans="12:12" x14ac:dyDescent="0.25">
      <c r="L998" s="142"/>
    </row>
    <row r="999" ht="14.25" customHeight="1" spans="12:12" x14ac:dyDescent="0.25">
      <c r="L999" s="142"/>
    </row>
    <row r="1000" ht="14.25" customHeight="1" spans="12:12" x14ac:dyDescent="0.25">
      <c r="L1000" s="142"/>
    </row>
  </sheetData>
  <sheetProtection sheet="1" objects="1" scenarios="1"/>
  <mergeCells count="40">
    <mergeCell ref="H2:I2"/>
    <mergeCell ref="H3:I3"/>
    <mergeCell ref="H4:I4"/>
    <mergeCell ref="L4:M4"/>
    <mergeCell ref="H6:I6"/>
    <mergeCell ref="L6:M6"/>
    <mergeCell ref="A8:G8"/>
    <mergeCell ref="H8:O8"/>
    <mergeCell ref="Q9:R9"/>
    <mergeCell ref="A15:G15"/>
    <mergeCell ref="H15:O15"/>
    <mergeCell ref="A16:E16"/>
    <mergeCell ref="H16:O20"/>
    <mergeCell ref="H21:O21"/>
    <mergeCell ref="H22:O26"/>
    <mergeCell ref="L28:M28"/>
    <mergeCell ref="N28:O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N50:O50"/>
    <mergeCell ref="Q50:R50"/>
  </mergeCells>
  <dataValidations count="6">
    <dataValidation type="list" allowBlank="1" showInputMessage="1" showErrorMessage="1" sqref="F30:F49">
      <formula1>"SP,ES"</formula1>
    </dataValidation>
    <dataValidation type="list" allowBlank="1" showInputMessage="1" showErrorMessage="1" sqref="G17">
      <formula1>"SIM,NÃO"</formula1>
      <formula2>0</formula2>
    </dataValidation>
    <dataValidation type="list" allowBlank="1" showInputMessage="1" showErrorMessage="1" sqref="J6">
      <formula1>$Q$11:$Q$36</formula1>
      <formula2>0</formula2>
    </dataValidation>
    <dataValidation type="list" allowBlank="1" showInputMessage="1" showErrorMessage="1" sqref="L100:L1000">
      <formula1>#REF!</formula1>
    </dataValidation>
    <dataValidation type="list" allowBlank="1" showInputMessage="1" showErrorMessage="1" sqref="L50:L1000">
      <formula1>#REF!</formula1>
    </dataValidation>
    <dataValidation type="list" allowBlank="1" showInputMessage="1" showErrorMessage="1" sqref="N6">
      <formula1>$R$11:$R$36</formula1>
      <formula2>0</formula2>
    </dataValidation>
  </dataValidations>
  <hyperlinks>
    <hyperlink ref="G14" r:id="rId1"/>
    <hyperlink ref="G22" r:id="rId2"/>
  </hyperlinks>
  <pageMargins left="0.25" right="0.25" top="0.75" bottom="0.75" header="0.3" footer="0.3"/>
  <pageSetup paperSize="9" orientation="landscape" horizontalDpi="4294967295" verticalDpi="4294967295" scale="47" fitToWidth="1" fitToHeight="1" firstPageNumber="1" useFirstPageNumber="1" copies="1"/>
  <drawing r:id="rId5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3"/>
  <sheetViews>
    <sheetView workbookViewId="0" showGridLines="0" zoomScale="100" zoomScaleNormal="100">
      <selection activeCell="B21" sqref="B21"/>
    </sheetView>
  </sheetViews>
  <sheetFormatPr defaultRowHeight="15" outlineLevelRow="0" outlineLevelCol="0" x14ac:dyDescent="0"/>
  <cols>
    <col min="2" max="2" width="34.28515625" customWidth="1"/>
    <col min="4" max="4" width="34.28515625" customWidth="1"/>
    <col min="6" max="7" width="17" customWidth="1"/>
    <col min="9" max="9" width="18.5703125" customWidth="1"/>
    <col min="10" max="10" width="18.42578125" customWidth="1"/>
    <col min="11" max="11" width="17.140625" customWidth="1"/>
    <col min="12" max="12" width="18.42578125" customWidth="1"/>
  </cols>
  <sheetData>
    <row r="2" ht="15.75" customHeight="1" spans="2:12" x14ac:dyDescent="0.25">
      <c r="B2" s="143" t="s">
        <v>42</v>
      </c>
      <c r="D2" s="143" t="s">
        <v>149</v>
      </c>
      <c r="F2" s="143" t="s">
        <v>42</v>
      </c>
      <c r="G2" s="143" t="s">
        <v>149</v>
      </c>
      <c r="I2" s="143" t="s">
        <v>150</v>
      </c>
      <c r="J2" s="143" t="s">
        <v>151</v>
      </c>
      <c r="K2" s="143" t="s">
        <v>152</v>
      </c>
      <c r="L2" s="143" t="s">
        <v>153</v>
      </c>
    </row>
    <row r="3" spans="2:12" x14ac:dyDescent="0.25">
      <c r="B3" s="144" t="s">
        <v>154</v>
      </c>
      <c r="D3" s="144" t="s">
        <v>155</v>
      </c>
      <c r="F3" s="144" t="s">
        <v>135</v>
      </c>
      <c r="G3" s="144" t="s">
        <v>135</v>
      </c>
      <c r="I3" s="144" t="s">
        <v>137</v>
      </c>
      <c r="J3" s="144" t="s">
        <v>156</v>
      </c>
      <c r="K3" s="144" t="s">
        <v>156</v>
      </c>
      <c r="L3" s="144" t="s">
        <v>156</v>
      </c>
    </row>
    <row r="4" spans="2:6" x14ac:dyDescent="0.25">
      <c r="B4" s="144" t="s">
        <v>157</v>
      </c>
      <c r="D4" s="144" t="s">
        <v>158</v>
      </c>
      <c r="F4" s="144" t="s">
        <v>159</v>
      </c>
    </row>
    <row r="5" spans="2:6" x14ac:dyDescent="0.25">
      <c r="B5" s="144" t="s">
        <v>160</v>
      </c>
      <c r="D5" s="144" t="s">
        <v>161</v>
      </c>
      <c r="F5" s="144" t="s">
        <v>162</v>
      </c>
    </row>
    <row r="6" spans="2:6" x14ac:dyDescent="0.25">
      <c r="B6" s="144" t="s">
        <v>163</v>
      </c>
      <c r="D6" s="144" t="s">
        <v>164</v>
      </c>
      <c r="F6" s="144" t="s">
        <v>165</v>
      </c>
    </row>
    <row r="7" spans="2:4" x14ac:dyDescent="0.25">
      <c r="B7" s="144" t="s">
        <v>166</v>
      </c>
      <c r="D7" s="144" t="s">
        <v>167</v>
      </c>
    </row>
    <row r="8" spans="2:4" x14ac:dyDescent="0.25">
      <c r="B8" s="144" t="s">
        <v>168</v>
      </c>
      <c r="D8" s="144" t="s">
        <v>169</v>
      </c>
    </row>
    <row r="9" spans="2:4" x14ac:dyDescent="0.25">
      <c r="B9" s="144" t="s">
        <v>170</v>
      </c>
      <c r="D9" s="144" t="s">
        <v>171</v>
      </c>
    </row>
    <row r="10" spans="2:4" x14ac:dyDescent="0.25">
      <c r="B10" s="144" t="s">
        <v>172</v>
      </c>
      <c r="D10" s="144" t="s">
        <v>173</v>
      </c>
    </row>
    <row r="11" spans="2:4" x14ac:dyDescent="0.25">
      <c r="B11" s="144" t="s">
        <v>174</v>
      </c>
      <c r="D11" s="144" t="s">
        <v>175</v>
      </c>
    </row>
    <row r="12" spans="2:4" x14ac:dyDescent="0.25">
      <c r="B12" s="144" t="s">
        <v>176</v>
      </c>
      <c r="D12" s="144" t="s">
        <v>177</v>
      </c>
    </row>
    <row r="13" spans="2:4" x14ac:dyDescent="0.25">
      <c r="B13" s="144" t="s">
        <v>178</v>
      </c>
      <c r="D13" s="144" t="s">
        <v>136</v>
      </c>
    </row>
    <row r="14" spans="2:4" x14ac:dyDescent="0.25">
      <c r="B14" s="144" t="s">
        <v>179</v>
      </c>
      <c r="D14" s="144"/>
    </row>
    <row r="15" spans="2:4" x14ac:dyDescent="0.25">
      <c r="B15" s="144" t="s">
        <v>180</v>
      </c>
      <c r="D15" s="144" t="s">
        <v>181</v>
      </c>
    </row>
    <row r="16" spans="2:4" x14ac:dyDescent="0.25">
      <c r="B16" s="144" t="s">
        <v>182</v>
      </c>
      <c r="D16" s="144" t="s">
        <v>183</v>
      </c>
    </row>
    <row r="17" spans="2:2" x14ac:dyDescent="0.25">
      <c r="B17" s="144" t="s">
        <v>184</v>
      </c>
    </row>
    <row r="18" spans="2:2" x14ac:dyDescent="0.25">
      <c r="B18" s="144" t="s">
        <v>185</v>
      </c>
    </row>
    <row r="19" spans="2:2" x14ac:dyDescent="0.25">
      <c r="B19" s="144" t="s">
        <v>186</v>
      </c>
    </row>
    <row r="20" spans="2:2" x14ac:dyDescent="0.25">
      <c r="B20" s="144" t="s">
        <v>187</v>
      </c>
    </row>
    <row r="21" spans="2:2" x14ac:dyDescent="0.25">
      <c r="B21" s="144" t="s">
        <v>188</v>
      </c>
    </row>
    <row r="22" spans="2:2" x14ac:dyDescent="0.25">
      <c r="B22" s="144" t="s">
        <v>189</v>
      </c>
    </row>
    <row r="23" spans="2:2" x14ac:dyDescent="0.25">
      <c r="B23" s="144" t="s">
        <v>190</v>
      </c>
    </row>
    <row r="24" spans="2:2" x14ac:dyDescent="0.25">
      <c r="B24" s="144" t="s">
        <v>191</v>
      </c>
    </row>
    <row r="25" spans="2:2" x14ac:dyDescent="0.25">
      <c r="B25" s="144" t="s">
        <v>192</v>
      </c>
    </row>
    <row r="26" spans="2:2" x14ac:dyDescent="0.25">
      <c r="B26" s="144" t="s">
        <v>193</v>
      </c>
    </row>
    <row r="27" spans="2:2" x14ac:dyDescent="0.25">
      <c r="B27" s="144" t="s">
        <v>194</v>
      </c>
    </row>
    <row r="28" spans="2:2" x14ac:dyDescent="0.25">
      <c r="B28" s="144" t="s">
        <v>195</v>
      </c>
    </row>
    <row r="29" spans="2:2" x14ac:dyDescent="0.25">
      <c r="B29" s="144" t="s">
        <v>196</v>
      </c>
    </row>
    <row r="30" spans="2:2" x14ac:dyDescent="0.25">
      <c r="B30" s="144" t="s">
        <v>197</v>
      </c>
    </row>
    <row r="31" spans="2:2" x14ac:dyDescent="0.25">
      <c r="B31" s="144" t="s">
        <v>198</v>
      </c>
    </row>
    <row r="32" spans="2:2" x14ac:dyDescent="0.25">
      <c r="B32" s="144" t="s">
        <v>199</v>
      </c>
    </row>
    <row r="33" spans="2:2" x14ac:dyDescent="0.25">
      <c r="B33" s="144" t="s">
        <v>200</v>
      </c>
    </row>
    <row r="34" spans="2:2" x14ac:dyDescent="0.25">
      <c r="B34" s="144" t="s">
        <v>201</v>
      </c>
    </row>
    <row r="35" spans="2:2" x14ac:dyDescent="0.25">
      <c r="B35" s="144" t="s">
        <v>202</v>
      </c>
    </row>
    <row r="36" spans="2:2" x14ac:dyDescent="0.25">
      <c r="B36" s="144" t="s">
        <v>203</v>
      </c>
    </row>
    <row r="37" spans="2:2" x14ac:dyDescent="0.25">
      <c r="B37" s="144" t="s">
        <v>204</v>
      </c>
    </row>
    <row r="38" spans="2:2" x14ac:dyDescent="0.25">
      <c r="B38" s="144" t="s">
        <v>205</v>
      </c>
    </row>
    <row r="39" spans="2:2" x14ac:dyDescent="0.25">
      <c r="B39" s="144" t="s">
        <v>206</v>
      </c>
    </row>
    <row r="40" spans="2:2" x14ac:dyDescent="0.25">
      <c r="B40" s="144" t="s">
        <v>207</v>
      </c>
    </row>
    <row r="41" spans="2:2" x14ac:dyDescent="0.25">
      <c r="B41" s="144" t="s">
        <v>208</v>
      </c>
    </row>
    <row r="42" spans="2:2" x14ac:dyDescent="0.25">
      <c r="B42" s="144" t="s">
        <v>209</v>
      </c>
    </row>
    <row r="43" spans="2:2" x14ac:dyDescent="0.25">
      <c r="B43" s="144" t="s">
        <v>210</v>
      </c>
    </row>
  </sheetData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7"/>
  <sheetViews>
    <sheetView workbookViewId="0" zoomScale="100" zoomScaleNormal="100">
      <selection activeCell="A24" sqref="A24"/>
    </sheetView>
  </sheetViews>
  <sheetFormatPr defaultRowHeight="15" outlineLevelRow="0" outlineLevelCol="0" x14ac:dyDescent="0"/>
  <cols>
    <col min="1" max="1" width="67.28515625" customWidth="1"/>
    <col min="2" max="2" width="19.140625" customWidth="1"/>
    <col min="3" max="3" width="18" customWidth="1"/>
    <col min="4" max="4" width="37.7109375" customWidth="1"/>
    <col min="5" max="5" width="27.85546875" customWidth="1"/>
    <col min="6" max="7" width="19.85546875" customWidth="1"/>
    <col min="8" max="8" width="41.5703125" customWidth="1"/>
    <col min="9" max="9" width="17.7109375" customWidth="1"/>
    <col min="10" max="10" width="53" customWidth="1"/>
    <col min="11" max="11" width="53.85546875" customWidth="1"/>
    <col min="12" max="12" width="25.85546875" customWidth="1"/>
    <col min="13" max="13" width="17.28515625" customWidth="1"/>
    <col min="14" max="14" width="14.5703125" customWidth="1"/>
    <col min="15" max="15" width="81.140625" customWidth="1"/>
  </cols>
  <sheetData>
    <row r="1" spans="1:15" x14ac:dyDescent="0.25">
      <c r="A1" t="s">
        <v>211</v>
      </c>
      <c r="B1" t="s">
        <v>212</v>
      </c>
      <c r="C1" t="s">
        <v>213</v>
      </c>
      <c r="D1" t="s">
        <v>214</v>
      </c>
      <c r="E1" t="s">
        <v>215</v>
      </c>
      <c r="F1" t="s">
        <v>216</v>
      </c>
      <c r="G1" t="s">
        <v>217</v>
      </c>
      <c r="H1" t="s">
        <v>218</v>
      </c>
      <c r="I1" t="s">
        <v>219</v>
      </c>
      <c r="J1" t="s">
        <v>220</v>
      </c>
      <c r="K1" t="s">
        <v>221</v>
      </c>
      <c r="L1" t="s">
        <v>222</v>
      </c>
      <c r="M1" t="s">
        <v>223</v>
      </c>
      <c r="N1" t="s">
        <v>224</v>
      </c>
      <c r="O1" t="s">
        <v>225</v>
      </c>
    </row>
    <row r="2" spans="1:15" x14ac:dyDescent="0.25">
      <c r="A2" t="s">
        <v>226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227</v>
      </c>
      <c r="O2" t="s">
        <v>228</v>
      </c>
    </row>
    <row r="3" spans="1:15" x14ac:dyDescent="0.25">
      <c r="A3" t="s">
        <v>229</v>
      </c>
      <c r="B3" t="s">
        <v>230</v>
      </c>
      <c r="C3" t="s">
        <v>231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 t="s">
        <v>237</v>
      </c>
      <c r="J3" t="s">
        <v>238</v>
      </c>
      <c r="K3" t="s">
        <v>239</v>
      </c>
      <c r="L3" t="s">
        <v>240</v>
      </c>
      <c r="M3" t="s">
        <v>56</v>
      </c>
      <c r="N3" t="s">
        <v>241</v>
      </c>
      <c r="O3" t="s">
        <v>242</v>
      </c>
    </row>
    <row r="4" spans="1:15" x14ac:dyDescent="0.25">
      <c r="A4" t="s">
        <v>243</v>
      </c>
      <c r="B4" t="s">
        <v>244</v>
      </c>
      <c r="C4" t="s">
        <v>245</v>
      </c>
      <c r="D4" t="s">
        <v>246</v>
      </c>
      <c r="E4" t="s">
        <v>247</v>
      </c>
      <c r="F4" t="s">
        <v>248</v>
      </c>
      <c r="H4" t="s">
        <v>249</v>
      </c>
      <c r="I4" t="s">
        <v>250</v>
      </c>
      <c r="J4" t="s">
        <v>251</v>
      </c>
      <c r="K4" t="s">
        <v>252</v>
      </c>
      <c r="L4" t="s">
        <v>253</v>
      </c>
      <c r="M4" t="s">
        <v>56</v>
      </c>
      <c r="N4" t="s">
        <v>254</v>
      </c>
      <c r="O4" t="s">
        <v>255</v>
      </c>
    </row>
    <row r="5" spans="1:15" x14ac:dyDescent="0.25">
      <c r="A5" t="s">
        <v>256</v>
      </c>
      <c r="B5" t="s">
        <v>257</v>
      </c>
      <c r="C5" t="s">
        <v>258</v>
      </c>
      <c r="D5" t="s">
        <v>246</v>
      </c>
      <c r="E5" t="s">
        <v>247</v>
      </c>
      <c r="F5" t="s">
        <v>248</v>
      </c>
      <c r="H5" t="s">
        <v>249</v>
      </c>
      <c r="I5" t="s">
        <v>250</v>
      </c>
      <c r="J5" t="s">
        <v>251</v>
      </c>
      <c r="K5" t="s">
        <v>252</v>
      </c>
      <c r="L5" t="s">
        <v>253</v>
      </c>
      <c r="M5" t="s">
        <v>56</v>
      </c>
      <c r="N5" t="s">
        <v>254</v>
      </c>
      <c r="O5" t="s">
        <v>255</v>
      </c>
    </row>
    <row r="6" spans="1:15" x14ac:dyDescent="0.25">
      <c r="A6" t="s">
        <v>259</v>
      </c>
      <c r="B6" t="s">
        <v>260</v>
      </c>
      <c r="C6" t="s">
        <v>261</v>
      </c>
      <c r="D6" t="s">
        <v>262</v>
      </c>
      <c r="E6" t="s">
        <v>263</v>
      </c>
      <c r="F6" t="s">
        <v>264</v>
      </c>
      <c r="G6" t="s">
        <v>265</v>
      </c>
      <c r="H6" t="s">
        <v>266</v>
      </c>
      <c r="I6" t="s">
        <v>267</v>
      </c>
      <c r="J6" t="s">
        <v>268</v>
      </c>
      <c r="K6" t="s">
        <v>269</v>
      </c>
      <c r="L6" t="s">
        <v>270</v>
      </c>
      <c r="M6" t="s">
        <v>271</v>
      </c>
      <c r="N6" t="s">
        <v>272</v>
      </c>
      <c r="O6" t="s">
        <v>273</v>
      </c>
    </row>
    <row r="7" spans="1:15" x14ac:dyDescent="0.25">
      <c r="A7" t="s">
        <v>274</v>
      </c>
      <c r="B7" t="s">
        <v>275</v>
      </c>
      <c r="C7" t="s">
        <v>276</v>
      </c>
      <c r="D7" t="s">
        <v>277</v>
      </c>
      <c r="E7" t="s">
        <v>278</v>
      </c>
      <c r="F7" t="s">
        <v>279</v>
      </c>
      <c r="G7" t="s">
        <v>280</v>
      </c>
      <c r="H7" t="s">
        <v>281</v>
      </c>
      <c r="I7" t="s">
        <v>282</v>
      </c>
      <c r="J7" t="s">
        <v>283</v>
      </c>
      <c r="K7" t="s">
        <v>284</v>
      </c>
      <c r="L7" t="s">
        <v>285</v>
      </c>
      <c r="M7" t="s">
        <v>43</v>
      </c>
      <c r="N7" t="s">
        <v>286</v>
      </c>
      <c r="O7" t="s">
        <v>287</v>
      </c>
    </row>
    <row r="8" spans="1:15" x14ac:dyDescent="0.25">
      <c r="A8" t="s">
        <v>288</v>
      </c>
      <c r="B8" t="s">
        <v>289</v>
      </c>
      <c r="C8" t="s">
        <v>290</v>
      </c>
      <c r="D8" t="s">
        <v>291</v>
      </c>
      <c r="F8" t="s">
        <v>292</v>
      </c>
      <c r="G8" t="s">
        <v>293</v>
      </c>
      <c r="H8" t="s">
        <v>294</v>
      </c>
      <c r="I8" t="s">
        <v>295</v>
      </c>
      <c r="J8" t="s">
        <v>268</v>
      </c>
      <c r="K8" t="s">
        <v>296</v>
      </c>
      <c r="L8" t="s">
        <v>285</v>
      </c>
      <c r="M8" t="s">
        <v>43</v>
      </c>
      <c r="N8" t="s">
        <v>297</v>
      </c>
      <c r="O8" t="s">
        <v>298</v>
      </c>
    </row>
    <row r="9" spans="1:15" x14ac:dyDescent="0.25">
      <c r="A9" t="s">
        <v>299</v>
      </c>
      <c r="B9" t="s">
        <v>300</v>
      </c>
      <c r="C9" t="s">
        <v>301</v>
      </c>
      <c r="D9" t="s">
        <v>302</v>
      </c>
      <c r="E9" t="s">
        <v>303</v>
      </c>
      <c r="F9" t="s">
        <v>304</v>
      </c>
      <c r="G9" t="s">
        <v>305</v>
      </c>
      <c r="H9" t="s">
        <v>306</v>
      </c>
      <c r="I9" t="s">
        <v>307</v>
      </c>
      <c r="J9" t="s">
        <v>308</v>
      </c>
      <c r="K9" t="s">
        <v>309</v>
      </c>
      <c r="L9" t="s">
        <v>310</v>
      </c>
      <c r="M9" t="s">
        <v>56</v>
      </c>
      <c r="N9" t="s">
        <v>311</v>
      </c>
      <c r="O9" t="s">
        <v>312</v>
      </c>
    </row>
    <row r="10" spans="1:15" x14ac:dyDescent="0.25">
      <c r="A10" t="s">
        <v>313</v>
      </c>
      <c r="B10" t="s">
        <v>314</v>
      </c>
      <c r="C10" t="s">
        <v>315</v>
      </c>
      <c r="D10" t="s">
        <v>316</v>
      </c>
      <c r="E10" t="s">
        <v>317</v>
      </c>
      <c r="F10" t="s">
        <v>318</v>
      </c>
      <c r="H10" t="s">
        <v>319</v>
      </c>
      <c r="I10" t="s">
        <v>320</v>
      </c>
      <c r="J10" t="s">
        <v>321</v>
      </c>
      <c r="K10" t="s">
        <v>322</v>
      </c>
      <c r="L10" t="s">
        <v>323</v>
      </c>
      <c r="M10" t="s">
        <v>43</v>
      </c>
      <c r="N10" t="s">
        <v>324</v>
      </c>
      <c r="O10" t="s">
        <v>325</v>
      </c>
    </row>
    <row r="11" spans="1:15" x14ac:dyDescent="0.25">
      <c r="A11" t="s">
        <v>326</v>
      </c>
      <c r="B11" t="s">
        <v>327</v>
      </c>
      <c r="C11" t="s">
        <v>328</v>
      </c>
      <c r="D11" t="s">
        <v>329</v>
      </c>
      <c r="F11" t="s">
        <v>330</v>
      </c>
      <c r="G11" t="s">
        <v>331</v>
      </c>
      <c r="H11" t="s">
        <v>332</v>
      </c>
      <c r="I11" t="s">
        <v>333</v>
      </c>
      <c r="J11" t="s">
        <v>334</v>
      </c>
      <c r="K11" t="s">
        <v>335</v>
      </c>
      <c r="L11" t="s">
        <v>285</v>
      </c>
      <c r="M11" t="s">
        <v>43</v>
      </c>
      <c r="N11" t="s">
        <v>336</v>
      </c>
      <c r="O11" t="s">
        <v>337</v>
      </c>
    </row>
    <row r="12" spans="1:15" x14ac:dyDescent="0.25">
      <c r="A12" t="s">
        <v>338</v>
      </c>
      <c r="B12" t="s">
        <v>339</v>
      </c>
      <c r="C12" t="s">
        <v>340</v>
      </c>
      <c r="D12" t="s">
        <v>341</v>
      </c>
      <c r="E12" t="s">
        <v>342</v>
      </c>
      <c r="F12" t="s">
        <v>343</v>
      </c>
      <c r="H12" t="s">
        <v>344</v>
      </c>
      <c r="I12" t="s">
        <v>345</v>
      </c>
      <c r="J12" t="s">
        <v>346</v>
      </c>
      <c r="K12" t="s">
        <v>347</v>
      </c>
      <c r="L12" t="s">
        <v>253</v>
      </c>
      <c r="M12" t="s">
        <v>56</v>
      </c>
      <c r="N12" t="s">
        <v>348</v>
      </c>
      <c r="O12" t="s">
        <v>349</v>
      </c>
    </row>
    <row r="13" spans="1:15" x14ac:dyDescent="0.25">
      <c r="A13" t="s">
        <v>350</v>
      </c>
      <c r="B13" t="s">
        <v>351</v>
      </c>
      <c r="C13" t="s">
        <v>352</v>
      </c>
      <c r="D13" t="s">
        <v>341</v>
      </c>
      <c r="E13" t="s">
        <v>342</v>
      </c>
      <c r="F13" t="s">
        <v>343</v>
      </c>
      <c r="H13" t="s">
        <v>344</v>
      </c>
      <c r="I13" t="s">
        <v>345</v>
      </c>
      <c r="J13" t="s">
        <v>346</v>
      </c>
      <c r="K13" t="s">
        <v>347</v>
      </c>
      <c r="L13" t="s">
        <v>253</v>
      </c>
      <c r="M13" t="s">
        <v>56</v>
      </c>
      <c r="N13" t="s">
        <v>348</v>
      </c>
      <c r="O13" t="s">
        <v>349</v>
      </c>
    </row>
    <row r="14" spans="1:15" x14ac:dyDescent="0.25">
      <c r="A14" t="s">
        <v>353</v>
      </c>
      <c r="B14" t="s">
        <v>354</v>
      </c>
      <c r="C14" t="s">
        <v>355</v>
      </c>
      <c r="D14" t="s">
        <v>341</v>
      </c>
      <c r="E14" t="s">
        <v>342</v>
      </c>
      <c r="F14" t="s">
        <v>343</v>
      </c>
      <c r="H14" t="s">
        <v>356</v>
      </c>
      <c r="I14" t="s">
        <v>357</v>
      </c>
      <c r="J14" t="s">
        <v>358</v>
      </c>
      <c r="K14" t="s">
        <v>359</v>
      </c>
      <c r="L14" t="s">
        <v>360</v>
      </c>
      <c r="M14" t="s">
        <v>43</v>
      </c>
      <c r="N14" t="s">
        <v>361</v>
      </c>
      <c r="O14" t="s">
        <v>362</v>
      </c>
    </row>
    <row r="15" spans="1:15" x14ac:dyDescent="0.25">
      <c r="A15" t="s">
        <v>363</v>
      </c>
      <c r="B15" t="s">
        <v>364</v>
      </c>
      <c r="C15" t="s">
        <v>365</v>
      </c>
      <c r="D15" t="s">
        <v>341</v>
      </c>
      <c r="E15" t="s">
        <v>342</v>
      </c>
      <c r="F15" t="s">
        <v>343</v>
      </c>
      <c r="H15" t="s">
        <v>366</v>
      </c>
      <c r="I15" t="s">
        <v>367</v>
      </c>
      <c r="J15" t="s">
        <v>368</v>
      </c>
      <c r="K15" t="s">
        <v>369</v>
      </c>
      <c r="L15" t="s">
        <v>44</v>
      </c>
      <c r="M15" t="s">
        <v>43</v>
      </c>
      <c r="N15" t="s">
        <v>370</v>
      </c>
      <c r="O15" t="s">
        <v>371</v>
      </c>
    </row>
    <row r="16" spans="1:15" x14ac:dyDescent="0.25">
      <c r="A16" t="s">
        <v>372</v>
      </c>
      <c r="B16" t="s">
        <v>373</v>
      </c>
      <c r="C16" t="s">
        <v>374</v>
      </c>
      <c r="D16" t="s">
        <v>341</v>
      </c>
      <c r="E16" t="s">
        <v>342</v>
      </c>
      <c r="F16" t="s">
        <v>343</v>
      </c>
      <c r="G16" t="s">
        <v>375</v>
      </c>
      <c r="H16" t="s">
        <v>366</v>
      </c>
      <c r="I16" t="s">
        <v>367</v>
      </c>
      <c r="J16" t="s">
        <v>368</v>
      </c>
      <c r="K16" t="s">
        <v>369</v>
      </c>
      <c r="L16" t="s">
        <v>44</v>
      </c>
      <c r="M16" t="s">
        <v>43</v>
      </c>
      <c r="N16" t="s">
        <v>370</v>
      </c>
      <c r="O16" t="s">
        <v>371</v>
      </c>
    </row>
    <row r="17" spans="1:15" x14ac:dyDescent="0.25">
      <c r="A17" t="s">
        <v>33</v>
      </c>
      <c r="B17" t="s">
        <v>34</v>
      </c>
      <c r="C17" t="s">
        <v>376</v>
      </c>
      <c r="D17" t="s">
        <v>36</v>
      </c>
      <c r="E17" t="s">
        <v>377</v>
      </c>
      <c r="F17" t="s">
        <v>378</v>
      </c>
      <c r="G17" t="s">
        <v>379</v>
      </c>
      <c r="H17" t="s">
        <v>39</v>
      </c>
      <c r="I17" t="s">
        <v>380</v>
      </c>
      <c r="J17" t="s">
        <v>40</v>
      </c>
      <c r="K17" t="s">
        <v>41</v>
      </c>
      <c r="L17" t="s">
        <v>42</v>
      </c>
      <c r="M17" t="s">
        <v>43</v>
      </c>
      <c r="N17" t="s">
        <v>45</v>
      </c>
      <c r="O17" t="s">
        <v>381</v>
      </c>
    </row>
    <row r="18" spans="1:15" x14ac:dyDescent="0.25">
      <c r="A18" t="s">
        <v>382</v>
      </c>
      <c r="B18" t="s">
        <v>383</v>
      </c>
      <c r="C18" t="s">
        <v>384</v>
      </c>
      <c r="D18" t="s">
        <v>36</v>
      </c>
      <c r="E18" t="s">
        <v>377</v>
      </c>
      <c r="F18" t="s">
        <v>378</v>
      </c>
      <c r="G18" t="s">
        <v>379</v>
      </c>
      <c r="H18" t="s">
        <v>385</v>
      </c>
      <c r="I18" t="s">
        <v>386</v>
      </c>
      <c r="J18" t="s">
        <v>387</v>
      </c>
      <c r="K18" t="s">
        <v>388</v>
      </c>
      <c r="L18" t="s">
        <v>323</v>
      </c>
      <c r="M18" t="s">
        <v>43</v>
      </c>
      <c r="N18" t="s">
        <v>389</v>
      </c>
      <c r="O18" t="s">
        <v>390</v>
      </c>
    </row>
    <row r="19" spans="1:15" x14ac:dyDescent="0.25">
      <c r="A19" t="s">
        <v>391</v>
      </c>
      <c r="B19" t="s">
        <v>392</v>
      </c>
      <c r="C19" t="s">
        <v>51</v>
      </c>
      <c r="D19" t="s">
        <v>36</v>
      </c>
      <c r="E19" t="s">
        <v>377</v>
      </c>
      <c r="F19" t="s">
        <v>378</v>
      </c>
      <c r="G19" t="s">
        <v>379</v>
      </c>
      <c r="H19" t="s">
        <v>393</v>
      </c>
      <c r="I19" t="s">
        <v>394</v>
      </c>
      <c r="J19" t="s">
        <v>395</v>
      </c>
      <c r="K19" t="s">
        <v>396</v>
      </c>
      <c r="L19" t="s">
        <v>397</v>
      </c>
      <c r="M19" t="s">
        <v>56</v>
      </c>
      <c r="N19" t="s">
        <v>51</v>
      </c>
      <c r="O19" t="s">
        <v>398</v>
      </c>
    </row>
    <row r="20" spans="1:15" x14ac:dyDescent="0.25">
      <c r="A20" t="s">
        <v>399</v>
      </c>
      <c r="B20" t="s">
        <v>400</v>
      </c>
      <c r="C20" t="s">
        <v>401</v>
      </c>
      <c r="D20" t="s">
        <v>36</v>
      </c>
      <c r="E20" t="s">
        <v>377</v>
      </c>
      <c r="F20" t="s">
        <v>378</v>
      </c>
      <c r="G20" t="s">
        <v>379</v>
      </c>
      <c r="H20" t="s">
        <v>402</v>
      </c>
      <c r="I20" t="s">
        <v>403</v>
      </c>
      <c r="J20" t="s">
        <v>404</v>
      </c>
      <c r="K20" t="s">
        <v>405</v>
      </c>
      <c r="L20" t="s">
        <v>44</v>
      </c>
      <c r="M20" t="s">
        <v>43</v>
      </c>
      <c r="N20" t="s">
        <v>45</v>
      </c>
      <c r="O20" t="s">
        <v>406</v>
      </c>
    </row>
    <row r="21" spans="1:15" x14ac:dyDescent="0.25">
      <c r="A21" t="s">
        <v>407</v>
      </c>
      <c r="B21" t="s">
        <v>408</v>
      </c>
      <c r="C21" t="s">
        <v>409</v>
      </c>
      <c r="D21" t="s">
        <v>410</v>
      </c>
      <c r="E21" t="s">
        <v>411</v>
      </c>
      <c r="F21" t="s">
        <v>412</v>
      </c>
      <c r="G21" t="s">
        <v>413</v>
      </c>
      <c r="H21" t="s">
        <v>414</v>
      </c>
      <c r="I21" t="s">
        <v>415</v>
      </c>
      <c r="J21" t="s">
        <v>268</v>
      </c>
      <c r="K21" t="s">
        <v>416</v>
      </c>
      <c r="L21" t="s">
        <v>417</v>
      </c>
      <c r="M21" t="s">
        <v>43</v>
      </c>
      <c r="N21" t="s">
        <v>418</v>
      </c>
      <c r="O21" t="s">
        <v>419</v>
      </c>
    </row>
    <row r="22" spans="1:15" x14ac:dyDescent="0.25">
      <c r="A22" t="s">
        <v>420</v>
      </c>
      <c r="B22" t="s">
        <v>421</v>
      </c>
      <c r="C22" t="s">
        <v>422</v>
      </c>
      <c r="D22" t="s">
        <v>423</v>
      </c>
      <c r="E22" t="s">
        <v>424</v>
      </c>
      <c r="F22" t="s">
        <v>425</v>
      </c>
      <c r="H22" t="s">
        <v>426</v>
      </c>
      <c r="I22" t="s">
        <v>95</v>
      </c>
      <c r="J22" t="s">
        <v>427</v>
      </c>
      <c r="K22" t="s">
        <v>428</v>
      </c>
      <c r="L22" t="s">
        <v>429</v>
      </c>
      <c r="M22" t="s">
        <v>43</v>
      </c>
      <c r="N22" t="s">
        <v>430</v>
      </c>
      <c r="O22" t="s">
        <v>431</v>
      </c>
    </row>
    <row r="23" spans="1:15" x14ac:dyDescent="0.25">
      <c r="A23" t="s">
        <v>29</v>
      </c>
      <c r="B23" t="s">
        <v>432</v>
      </c>
      <c r="C23" t="s">
        <v>433</v>
      </c>
      <c r="D23" t="s">
        <v>74</v>
      </c>
      <c r="E23" t="s">
        <v>434</v>
      </c>
      <c r="F23" t="s">
        <v>435</v>
      </c>
      <c r="G23" t="s">
        <v>436</v>
      </c>
      <c r="H23" t="s">
        <v>437</v>
      </c>
      <c r="I23" t="s">
        <v>438</v>
      </c>
      <c r="J23" t="s">
        <v>439</v>
      </c>
      <c r="K23" t="s">
        <v>440</v>
      </c>
      <c r="L23" t="s">
        <v>323</v>
      </c>
      <c r="M23" t="s">
        <v>43</v>
      </c>
      <c r="N23" t="s">
        <v>441</v>
      </c>
      <c r="O23" t="s">
        <v>442</v>
      </c>
    </row>
    <row r="24" spans="1:15" x14ac:dyDescent="0.25">
      <c r="A24" t="s">
        <v>443</v>
      </c>
      <c r="B24" t="s">
        <v>444</v>
      </c>
      <c r="C24" t="s">
        <v>445</v>
      </c>
      <c r="D24" t="s">
        <v>446</v>
      </c>
      <c r="E24" t="s">
        <v>447</v>
      </c>
      <c r="G24" t="s">
        <v>448</v>
      </c>
      <c r="H24" t="s">
        <v>449</v>
      </c>
      <c r="I24" t="s">
        <v>450</v>
      </c>
      <c r="J24" t="s">
        <v>268</v>
      </c>
      <c r="K24" t="s">
        <v>451</v>
      </c>
      <c r="L24" t="s">
        <v>42</v>
      </c>
      <c r="M24" t="s">
        <v>43</v>
      </c>
      <c r="N24" t="s">
        <v>452</v>
      </c>
      <c r="O24" t="s">
        <v>453</v>
      </c>
    </row>
    <row r="25" spans="1:15" x14ac:dyDescent="0.25">
      <c r="A25" t="s">
        <v>454</v>
      </c>
      <c r="B25" t="s">
        <v>455</v>
      </c>
      <c r="C25" t="s">
        <v>456</v>
      </c>
      <c r="D25" t="s">
        <v>457</v>
      </c>
      <c r="E25" t="s">
        <v>458</v>
      </c>
      <c r="F25" t="s">
        <v>459</v>
      </c>
      <c r="G25" t="s">
        <v>460</v>
      </c>
      <c r="H25" t="s">
        <v>461</v>
      </c>
      <c r="I25" t="s">
        <v>462</v>
      </c>
      <c r="J25" t="s">
        <v>463</v>
      </c>
      <c r="K25" t="s">
        <v>464</v>
      </c>
      <c r="L25" t="s">
        <v>323</v>
      </c>
      <c r="M25" t="s">
        <v>43</v>
      </c>
      <c r="N25" t="s">
        <v>465</v>
      </c>
      <c r="O25" t="s">
        <v>466</v>
      </c>
    </row>
    <row r="26" spans="1:15" x14ac:dyDescent="0.25">
      <c r="A26" t="s">
        <v>467</v>
      </c>
      <c r="B26" t="s">
        <v>468</v>
      </c>
      <c r="C26" t="s">
        <v>469</v>
      </c>
      <c r="D26" t="s">
        <v>470</v>
      </c>
      <c r="E26" t="s">
        <v>471</v>
      </c>
      <c r="F26" t="s">
        <v>472</v>
      </c>
      <c r="G26" t="s">
        <v>473</v>
      </c>
      <c r="H26" t="s">
        <v>474</v>
      </c>
      <c r="I26" t="s">
        <v>475</v>
      </c>
      <c r="J26" t="s">
        <v>476</v>
      </c>
      <c r="K26" t="s">
        <v>477</v>
      </c>
      <c r="L26" t="s">
        <v>285</v>
      </c>
      <c r="M26" t="s">
        <v>43</v>
      </c>
      <c r="N26" t="s">
        <v>478</v>
      </c>
      <c r="O26" t="s">
        <v>479</v>
      </c>
    </row>
    <row r="27" spans="1:15" x14ac:dyDescent="0.25">
      <c r="A27" t="s">
        <v>480</v>
      </c>
      <c r="B27" t="s">
        <v>481</v>
      </c>
      <c r="C27" t="s">
        <v>482</v>
      </c>
      <c r="D27" t="s">
        <v>483</v>
      </c>
      <c r="E27" t="s">
        <v>484</v>
      </c>
      <c r="F27" t="s">
        <v>485</v>
      </c>
      <c r="G27" t="s">
        <v>486</v>
      </c>
      <c r="H27" t="s">
        <v>487</v>
      </c>
      <c r="I27" t="s">
        <v>488</v>
      </c>
      <c r="J27" t="s">
        <v>489</v>
      </c>
      <c r="K27" t="s">
        <v>284</v>
      </c>
      <c r="L27" t="s">
        <v>323</v>
      </c>
      <c r="M27" t="s">
        <v>43</v>
      </c>
      <c r="N27" t="s">
        <v>490</v>
      </c>
      <c r="O27" t="s">
        <v>491</v>
      </c>
    </row>
    <row r="28" spans="1:15" x14ac:dyDescent="0.25">
      <c r="A28" t="s">
        <v>492</v>
      </c>
      <c r="B28" t="s">
        <v>493</v>
      </c>
      <c r="C28" t="s">
        <v>494</v>
      </c>
      <c r="D28" t="s">
        <v>495</v>
      </c>
      <c r="E28" t="s">
        <v>496</v>
      </c>
      <c r="G28" t="s">
        <v>497</v>
      </c>
      <c r="H28" t="s">
        <v>498</v>
      </c>
      <c r="I28" t="s">
        <v>499</v>
      </c>
      <c r="K28" t="s">
        <v>500</v>
      </c>
      <c r="L28" t="s">
        <v>501</v>
      </c>
      <c r="M28" t="s">
        <v>502</v>
      </c>
      <c r="N28" t="s">
        <v>503</v>
      </c>
      <c r="O28" t="s">
        <v>504</v>
      </c>
    </row>
    <row r="29" spans="1:15" x14ac:dyDescent="0.25">
      <c r="A29" t="s">
        <v>505</v>
      </c>
      <c r="B29" t="s">
        <v>506</v>
      </c>
      <c r="C29" t="s">
        <v>507</v>
      </c>
      <c r="D29" t="s">
        <v>508</v>
      </c>
      <c r="E29" t="s">
        <v>509</v>
      </c>
      <c r="F29" t="s">
        <v>510</v>
      </c>
      <c r="G29" t="s">
        <v>511</v>
      </c>
      <c r="H29" t="s">
        <v>512</v>
      </c>
      <c r="I29" t="s">
        <v>345</v>
      </c>
      <c r="J29" t="s">
        <v>513</v>
      </c>
      <c r="K29" t="s">
        <v>514</v>
      </c>
      <c r="L29" t="s">
        <v>253</v>
      </c>
      <c r="M29" t="s">
        <v>56</v>
      </c>
      <c r="N29" t="s">
        <v>515</v>
      </c>
      <c r="O29" t="s">
        <v>516</v>
      </c>
    </row>
    <row r="30" spans="1:15" x14ac:dyDescent="0.25">
      <c r="A30" t="s">
        <v>517</v>
      </c>
      <c r="B30" t="s">
        <v>518</v>
      </c>
      <c r="C30" t="s">
        <v>519</v>
      </c>
      <c r="D30" t="s">
        <v>508</v>
      </c>
      <c r="E30" t="s">
        <v>509</v>
      </c>
      <c r="F30" t="s">
        <v>510</v>
      </c>
      <c r="G30" t="s">
        <v>511</v>
      </c>
      <c r="H30" t="s">
        <v>520</v>
      </c>
      <c r="I30" t="s">
        <v>521</v>
      </c>
      <c r="J30" t="s">
        <v>522</v>
      </c>
      <c r="K30" t="s">
        <v>523</v>
      </c>
      <c r="L30" t="s">
        <v>524</v>
      </c>
      <c r="M30" t="s">
        <v>525</v>
      </c>
      <c r="N30" t="s">
        <v>526</v>
      </c>
      <c r="O30" t="s">
        <v>527</v>
      </c>
    </row>
    <row r="31" spans="1:15" x14ac:dyDescent="0.25">
      <c r="A31" t="s">
        <v>528</v>
      </c>
      <c r="B31" t="s">
        <v>529</v>
      </c>
      <c r="C31" t="s">
        <v>530</v>
      </c>
      <c r="D31" t="s">
        <v>508</v>
      </c>
      <c r="E31" t="s">
        <v>509</v>
      </c>
      <c r="F31" t="s">
        <v>510</v>
      </c>
      <c r="G31" t="s">
        <v>511</v>
      </c>
      <c r="H31" t="s">
        <v>531</v>
      </c>
      <c r="I31" t="s">
        <v>532</v>
      </c>
      <c r="J31" t="s">
        <v>533</v>
      </c>
      <c r="K31" t="s">
        <v>534</v>
      </c>
      <c r="L31" t="s">
        <v>535</v>
      </c>
      <c r="M31" t="s">
        <v>536</v>
      </c>
      <c r="N31" t="s">
        <v>537</v>
      </c>
      <c r="O31" t="s">
        <v>538</v>
      </c>
    </row>
    <row r="32" spans="1:15" x14ac:dyDescent="0.25">
      <c r="A32" t="s">
        <v>539</v>
      </c>
      <c r="B32" t="s">
        <v>540</v>
      </c>
      <c r="C32" t="s">
        <v>541</v>
      </c>
      <c r="D32" t="s">
        <v>508</v>
      </c>
      <c r="E32" t="s">
        <v>509</v>
      </c>
      <c r="F32" t="s">
        <v>510</v>
      </c>
      <c r="G32" t="s">
        <v>511</v>
      </c>
      <c r="H32" t="s">
        <v>542</v>
      </c>
      <c r="I32" t="s">
        <v>543</v>
      </c>
      <c r="J32" t="s">
        <v>544</v>
      </c>
      <c r="K32" t="s">
        <v>545</v>
      </c>
      <c r="L32" t="s">
        <v>546</v>
      </c>
      <c r="M32" t="s">
        <v>547</v>
      </c>
      <c r="N32" t="s">
        <v>548</v>
      </c>
      <c r="O32" t="s">
        <v>549</v>
      </c>
    </row>
    <row r="33" spans="1:15" x14ac:dyDescent="0.25">
      <c r="A33" t="s">
        <v>550</v>
      </c>
      <c r="B33" t="s">
        <v>551</v>
      </c>
      <c r="C33" t="s">
        <v>552</v>
      </c>
      <c r="D33" t="s">
        <v>508</v>
      </c>
      <c r="E33" t="s">
        <v>509</v>
      </c>
      <c r="F33" t="s">
        <v>510</v>
      </c>
      <c r="G33" t="s">
        <v>511</v>
      </c>
      <c r="H33" t="s">
        <v>553</v>
      </c>
      <c r="I33" t="s">
        <v>554</v>
      </c>
      <c r="J33" t="s">
        <v>555</v>
      </c>
      <c r="K33" t="s">
        <v>556</v>
      </c>
      <c r="L33" t="s">
        <v>557</v>
      </c>
      <c r="M33" t="s">
        <v>43</v>
      </c>
      <c r="N33" t="s">
        <v>558</v>
      </c>
      <c r="O33" t="s">
        <v>559</v>
      </c>
    </row>
    <row r="34" spans="1:15" x14ac:dyDescent="0.25">
      <c r="A34" t="s">
        <v>560</v>
      </c>
      <c r="B34" t="s">
        <v>561</v>
      </c>
      <c r="C34" t="s">
        <v>562</v>
      </c>
      <c r="D34" t="s">
        <v>563</v>
      </c>
      <c r="E34" t="s">
        <v>564</v>
      </c>
      <c r="F34" t="s">
        <v>565</v>
      </c>
      <c r="G34" t="s">
        <v>566</v>
      </c>
      <c r="H34" t="s">
        <v>567</v>
      </c>
      <c r="I34" t="s">
        <v>568</v>
      </c>
      <c r="J34" t="s">
        <v>569</v>
      </c>
      <c r="K34" t="s">
        <v>570</v>
      </c>
      <c r="L34" t="s">
        <v>323</v>
      </c>
      <c r="M34" t="s">
        <v>43</v>
      </c>
      <c r="N34" t="s">
        <v>571</v>
      </c>
      <c r="O34" t="s">
        <v>572</v>
      </c>
    </row>
    <row r="35" spans="1:15" x14ac:dyDescent="0.25">
      <c r="A35" t="s">
        <v>573</v>
      </c>
      <c r="B35" t="s">
        <v>574</v>
      </c>
      <c r="C35" t="s">
        <v>575</v>
      </c>
      <c r="D35" t="s">
        <v>576</v>
      </c>
      <c r="E35" t="s">
        <v>577</v>
      </c>
      <c r="F35" t="s">
        <v>578</v>
      </c>
      <c r="G35" t="s">
        <v>579</v>
      </c>
      <c r="H35" t="s">
        <v>580</v>
      </c>
      <c r="I35" t="s">
        <v>581</v>
      </c>
      <c r="J35" t="s">
        <v>582</v>
      </c>
      <c r="K35" t="s">
        <v>583</v>
      </c>
      <c r="L35" t="s">
        <v>323</v>
      </c>
      <c r="M35" t="s">
        <v>43</v>
      </c>
      <c r="N35" t="s">
        <v>584</v>
      </c>
      <c r="O35" t="s">
        <v>585</v>
      </c>
    </row>
    <row r="36" spans="1:15" x14ac:dyDescent="0.25">
      <c r="A36" t="s">
        <v>586</v>
      </c>
      <c r="B36" t="s">
        <v>587</v>
      </c>
      <c r="C36" t="s">
        <v>588</v>
      </c>
      <c r="D36" t="s">
        <v>589</v>
      </c>
      <c r="E36" t="s">
        <v>590</v>
      </c>
      <c r="F36" t="s">
        <v>591</v>
      </c>
      <c r="H36" t="s">
        <v>592</v>
      </c>
      <c r="I36" t="s">
        <v>593</v>
      </c>
      <c r="J36" t="s">
        <v>594</v>
      </c>
      <c r="K36" t="s">
        <v>595</v>
      </c>
      <c r="L36" t="s">
        <v>323</v>
      </c>
      <c r="M36" t="s">
        <v>43</v>
      </c>
      <c r="N36" t="s">
        <v>596</v>
      </c>
      <c r="O36" t="s">
        <v>597</v>
      </c>
    </row>
    <row r="37" spans="1:15" x14ac:dyDescent="0.25">
      <c r="A37" t="s">
        <v>598</v>
      </c>
      <c r="B37" t="s">
        <v>599</v>
      </c>
      <c r="C37" t="s">
        <v>600</v>
      </c>
      <c r="D37" t="s">
        <v>601</v>
      </c>
      <c r="E37" t="s">
        <v>602</v>
      </c>
      <c r="F37" t="s">
        <v>603</v>
      </c>
      <c r="H37" t="s">
        <v>604</v>
      </c>
      <c r="I37" t="s">
        <v>605</v>
      </c>
      <c r="K37" t="s">
        <v>606</v>
      </c>
      <c r="L37" t="s">
        <v>607</v>
      </c>
      <c r="M37" t="s">
        <v>43</v>
      </c>
      <c r="N37" t="s">
        <v>608</v>
      </c>
      <c r="O37" t="s">
        <v>609</v>
      </c>
    </row>
    <row r="38" spans="1:15" x14ac:dyDescent="0.25">
      <c r="A38" t="s">
        <v>610</v>
      </c>
      <c r="B38" t="s">
        <v>611</v>
      </c>
      <c r="C38" t="s">
        <v>612</v>
      </c>
      <c r="D38" t="s">
        <v>613</v>
      </c>
      <c r="E38" t="s">
        <v>614</v>
      </c>
      <c r="F38" t="s">
        <v>615</v>
      </c>
      <c r="G38" t="s">
        <v>616</v>
      </c>
      <c r="H38" t="s">
        <v>617</v>
      </c>
      <c r="I38" t="s">
        <v>618</v>
      </c>
      <c r="J38" t="s">
        <v>619</v>
      </c>
      <c r="K38" t="s">
        <v>620</v>
      </c>
      <c r="L38" t="s">
        <v>621</v>
      </c>
      <c r="M38" t="s">
        <v>536</v>
      </c>
      <c r="N38" t="s">
        <v>622</v>
      </c>
      <c r="O38" t="s">
        <v>623</v>
      </c>
    </row>
    <row r="39" spans="1:15" x14ac:dyDescent="0.25">
      <c r="A39" t="s">
        <v>624</v>
      </c>
      <c r="B39" t="s">
        <v>625</v>
      </c>
      <c r="C39" t="s">
        <v>626</v>
      </c>
      <c r="D39" t="s">
        <v>627</v>
      </c>
      <c r="E39" t="s">
        <v>628</v>
      </c>
      <c r="F39" t="s">
        <v>629</v>
      </c>
      <c r="G39" t="s">
        <v>630</v>
      </c>
      <c r="H39" t="s">
        <v>631</v>
      </c>
      <c r="I39" t="s">
        <v>632</v>
      </c>
      <c r="J39" t="s">
        <v>268</v>
      </c>
      <c r="K39" t="s">
        <v>633</v>
      </c>
      <c r="L39" t="s">
        <v>634</v>
      </c>
      <c r="M39" t="s">
        <v>43</v>
      </c>
      <c r="N39" t="s">
        <v>635</v>
      </c>
      <c r="O39" t="s">
        <v>636</v>
      </c>
    </row>
    <row r="40" spans="1:15" x14ac:dyDescent="0.25">
      <c r="A40" t="s">
        <v>637</v>
      </c>
      <c r="B40" t="s">
        <v>638</v>
      </c>
      <c r="C40" t="s">
        <v>639</v>
      </c>
      <c r="D40" t="s">
        <v>640</v>
      </c>
      <c r="E40" t="s">
        <v>641</v>
      </c>
      <c r="F40" t="s">
        <v>642</v>
      </c>
      <c r="G40" t="s">
        <v>643</v>
      </c>
      <c r="H40" t="s">
        <v>644</v>
      </c>
      <c r="I40" t="s">
        <v>645</v>
      </c>
      <c r="J40" t="s">
        <v>646</v>
      </c>
      <c r="K40" t="s">
        <v>647</v>
      </c>
      <c r="L40" t="s">
        <v>648</v>
      </c>
      <c r="M40" t="s">
        <v>649</v>
      </c>
      <c r="N40" t="s">
        <v>650</v>
      </c>
      <c r="O40" t="s">
        <v>651</v>
      </c>
    </row>
    <row r="41" spans="1:15" x14ac:dyDescent="0.25">
      <c r="A41" t="s">
        <v>652</v>
      </c>
      <c r="B41" t="s">
        <v>653</v>
      </c>
      <c r="C41" t="s">
        <v>654</v>
      </c>
      <c r="D41" t="s">
        <v>640</v>
      </c>
      <c r="E41" t="s">
        <v>641</v>
      </c>
      <c r="F41" t="s">
        <v>642</v>
      </c>
      <c r="G41" t="s">
        <v>643</v>
      </c>
      <c r="H41" t="s">
        <v>306</v>
      </c>
      <c r="I41" t="s">
        <v>95</v>
      </c>
      <c r="J41" t="s">
        <v>655</v>
      </c>
      <c r="K41" t="s">
        <v>656</v>
      </c>
      <c r="L41" t="s">
        <v>253</v>
      </c>
      <c r="M41" t="s">
        <v>56</v>
      </c>
      <c r="N41" t="s">
        <v>657</v>
      </c>
      <c r="O41" t="s">
        <v>658</v>
      </c>
    </row>
    <row r="42" spans="1:15" x14ac:dyDescent="0.25">
      <c r="A42" t="s">
        <v>659</v>
      </c>
      <c r="B42" t="s">
        <v>660</v>
      </c>
      <c r="C42" t="s">
        <v>661</v>
      </c>
      <c r="D42" t="s">
        <v>662</v>
      </c>
      <c r="E42" t="s">
        <v>663</v>
      </c>
      <c r="F42" t="s">
        <v>664</v>
      </c>
      <c r="G42" t="s">
        <v>665</v>
      </c>
      <c r="H42" t="s">
        <v>666</v>
      </c>
      <c r="I42" t="s">
        <v>95</v>
      </c>
      <c r="J42" t="s">
        <v>667</v>
      </c>
      <c r="K42" t="s">
        <v>656</v>
      </c>
      <c r="L42" t="s">
        <v>253</v>
      </c>
      <c r="M42" t="s">
        <v>56</v>
      </c>
      <c r="N42" t="s">
        <v>668</v>
      </c>
      <c r="O42" t="s">
        <v>669</v>
      </c>
    </row>
    <row r="43" spans="1:15" x14ac:dyDescent="0.25">
      <c r="A43" t="s">
        <v>670</v>
      </c>
      <c r="B43" t="s">
        <v>671</v>
      </c>
      <c r="C43" t="s">
        <v>672</v>
      </c>
      <c r="D43" t="s">
        <v>662</v>
      </c>
      <c r="E43" t="s">
        <v>663</v>
      </c>
      <c r="F43" t="s">
        <v>664</v>
      </c>
      <c r="G43" t="s">
        <v>665</v>
      </c>
      <c r="H43" t="s">
        <v>673</v>
      </c>
      <c r="I43" t="s">
        <v>674</v>
      </c>
      <c r="J43" t="s">
        <v>675</v>
      </c>
      <c r="K43" t="s">
        <v>676</v>
      </c>
      <c r="L43" t="s">
        <v>677</v>
      </c>
      <c r="M43" t="s">
        <v>678</v>
      </c>
      <c r="N43" t="s">
        <v>679</v>
      </c>
      <c r="O43" t="s">
        <v>680</v>
      </c>
    </row>
    <row r="44" spans="1:15" x14ac:dyDescent="0.25">
      <c r="A44" t="s">
        <v>681</v>
      </c>
      <c r="B44" t="s">
        <v>682</v>
      </c>
      <c r="C44" t="s">
        <v>683</v>
      </c>
      <c r="D44" t="s">
        <v>662</v>
      </c>
      <c r="E44" t="s">
        <v>663</v>
      </c>
      <c r="F44" t="s">
        <v>664</v>
      </c>
      <c r="G44" t="s">
        <v>665</v>
      </c>
      <c r="H44" t="s">
        <v>684</v>
      </c>
      <c r="I44" t="s">
        <v>685</v>
      </c>
      <c r="J44" t="s">
        <v>686</v>
      </c>
      <c r="K44" t="s">
        <v>687</v>
      </c>
      <c r="L44" t="s">
        <v>688</v>
      </c>
      <c r="M44" t="s">
        <v>43</v>
      </c>
      <c r="N44" t="s">
        <v>689</v>
      </c>
      <c r="O44" t="s">
        <v>690</v>
      </c>
    </row>
    <row r="45" spans="1:15" x14ac:dyDescent="0.25">
      <c r="A45" t="s">
        <v>691</v>
      </c>
      <c r="B45" t="s">
        <v>692</v>
      </c>
      <c r="D45" t="s">
        <v>693</v>
      </c>
      <c r="E45" t="s">
        <v>694</v>
      </c>
      <c r="F45" t="s">
        <v>695</v>
      </c>
      <c r="G45" t="s">
        <v>695</v>
      </c>
      <c r="H45" t="s">
        <v>696</v>
      </c>
      <c r="I45" t="s">
        <v>697</v>
      </c>
      <c r="K45" t="s">
        <v>698</v>
      </c>
      <c r="L45" t="s">
        <v>699</v>
      </c>
      <c r="M45" t="s">
        <v>547</v>
      </c>
      <c r="N45" t="s">
        <v>700</v>
      </c>
      <c r="O45" t="s">
        <v>701</v>
      </c>
    </row>
    <row r="46" spans="1:15" x14ac:dyDescent="0.25">
      <c r="A46" t="s">
        <v>702</v>
      </c>
      <c r="B46" t="s">
        <v>703</v>
      </c>
      <c r="C46" t="s">
        <v>704</v>
      </c>
      <c r="D46" t="s">
        <v>705</v>
      </c>
      <c r="E46" t="s">
        <v>706</v>
      </c>
      <c r="F46" t="s">
        <v>707</v>
      </c>
      <c r="G46" t="s">
        <v>707</v>
      </c>
      <c r="H46" t="s">
        <v>604</v>
      </c>
      <c r="I46" t="s">
        <v>708</v>
      </c>
      <c r="K46" t="s">
        <v>709</v>
      </c>
      <c r="L46" t="s">
        <v>607</v>
      </c>
      <c r="M46" t="s">
        <v>43</v>
      </c>
      <c r="N46" t="s">
        <v>710</v>
      </c>
      <c r="O46" t="s">
        <v>711</v>
      </c>
    </row>
    <row r="47" spans="1:15" x14ac:dyDescent="0.25">
      <c r="A47" t="s">
        <v>712</v>
      </c>
      <c r="B47" t="s">
        <v>713</v>
      </c>
      <c r="C47" t="s">
        <v>714</v>
      </c>
      <c r="D47" t="s">
        <v>715</v>
      </c>
      <c r="E47" t="s">
        <v>716</v>
      </c>
      <c r="H47" t="s">
        <v>717</v>
      </c>
      <c r="I47" t="s">
        <v>718</v>
      </c>
      <c r="K47" t="s">
        <v>583</v>
      </c>
      <c r="L47" t="s">
        <v>607</v>
      </c>
      <c r="M47" t="s">
        <v>43</v>
      </c>
      <c r="N47" t="s">
        <v>719</v>
      </c>
      <c r="O47" t="s">
        <v>720</v>
      </c>
    </row>
    <row r="48" spans="1:15" x14ac:dyDescent="0.25">
      <c r="A48" t="s">
        <v>721</v>
      </c>
      <c r="B48" t="s">
        <v>722</v>
      </c>
      <c r="C48" t="s">
        <v>723</v>
      </c>
      <c r="D48" t="s">
        <v>724</v>
      </c>
      <c r="E48" t="s">
        <v>725</v>
      </c>
      <c r="F48" t="s">
        <v>726</v>
      </c>
      <c r="H48" t="s">
        <v>356</v>
      </c>
      <c r="I48" t="s">
        <v>727</v>
      </c>
      <c r="J48" t="s">
        <v>728</v>
      </c>
      <c r="K48" t="s">
        <v>729</v>
      </c>
      <c r="L48" t="s">
        <v>323</v>
      </c>
      <c r="M48" t="s">
        <v>43</v>
      </c>
      <c r="N48" t="s">
        <v>361</v>
      </c>
      <c r="O48" t="s">
        <v>730</v>
      </c>
    </row>
    <row r="49" spans="1:15" x14ac:dyDescent="0.25">
      <c r="A49" t="s">
        <v>731</v>
      </c>
      <c r="B49" t="s">
        <v>732</v>
      </c>
      <c r="C49" t="s">
        <v>733</v>
      </c>
      <c r="D49" t="s">
        <v>734</v>
      </c>
      <c r="E49" t="s">
        <v>735</v>
      </c>
      <c r="F49" t="s">
        <v>736</v>
      </c>
      <c r="G49" t="s">
        <v>737</v>
      </c>
      <c r="H49" t="s">
        <v>738</v>
      </c>
      <c r="I49" t="s">
        <v>739</v>
      </c>
      <c r="J49" t="s">
        <v>740</v>
      </c>
      <c r="K49" t="s">
        <v>741</v>
      </c>
      <c r="L49" t="s">
        <v>323</v>
      </c>
      <c r="M49" t="s">
        <v>43</v>
      </c>
      <c r="N49" t="s">
        <v>742</v>
      </c>
      <c r="O49" t="s">
        <v>743</v>
      </c>
    </row>
    <row r="50" spans="1:15" x14ac:dyDescent="0.25">
      <c r="A50" t="s">
        <v>744</v>
      </c>
      <c r="B50" t="s">
        <v>745</v>
      </c>
      <c r="C50" t="s">
        <v>746</v>
      </c>
      <c r="G50" t="s">
        <v>747</v>
      </c>
      <c r="H50" t="s">
        <v>748</v>
      </c>
      <c r="I50" t="s">
        <v>749</v>
      </c>
      <c r="K50" t="s">
        <v>750</v>
      </c>
      <c r="L50" t="s">
        <v>751</v>
      </c>
      <c r="M50" t="s">
        <v>752</v>
      </c>
      <c r="N50" t="s">
        <v>753</v>
      </c>
      <c r="O50" t="s">
        <v>754</v>
      </c>
    </row>
    <row r="51" spans="1:15" x14ac:dyDescent="0.25">
      <c r="A51" t="s">
        <v>755</v>
      </c>
      <c r="B51" t="s">
        <v>756</v>
      </c>
      <c r="C51" t="s">
        <v>757</v>
      </c>
      <c r="D51" t="s">
        <v>758</v>
      </c>
      <c r="E51" t="s">
        <v>759</v>
      </c>
      <c r="F51" t="s">
        <v>760</v>
      </c>
      <c r="H51" t="s">
        <v>761</v>
      </c>
      <c r="I51" t="s">
        <v>762</v>
      </c>
      <c r="K51" t="s">
        <v>323</v>
      </c>
      <c r="L51" t="s">
        <v>323</v>
      </c>
      <c r="M51" t="s">
        <v>752</v>
      </c>
      <c r="N51" t="s">
        <v>763</v>
      </c>
      <c r="O51" t="s">
        <v>764</v>
      </c>
    </row>
    <row r="52" spans="1:15" x14ac:dyDescent="0.25">
      <c r="A52" t="s">
        <v>702</v>
      </c>
      <c r="B52" t="s">
        <v>703</v>
      </c>
      <c r="C52" t="s">
        <v>765</v>
      </c>
      <c r="D52" t="s">
        <v>766</v>
      </c>
      <c r="E52" t="s">
        <v>706</v>
      </c>
      <c r="F52" t="s">
        <v>767</v>
      </c>
      <c r="H52" t="s">
        <v>768</v>
      </c>
      <c r="I52" t="s">
        <v>708</v>
      </c>
      <c r="K52" t="s">
        <v>769</v>
      </c>
      <c r="L52" t="s">
        <v>323</v>
      </c>
      <c r="M52" t="s">
        <v>752</v>
      </c>
      <c r="N52" t="s">
        <v>710</v>
      </c>
      <c r="O52" t="s">
        <v>770</v>
      </c>
    </row>
    <row r="53" spans="1:15" x14ac:dyDescent="0.25">
      <c r="A53" t="s">
        <v>771</v>
      </c>
      <c r="B53" t="s">
        <v>772</v>
      </c>
      <c r="C53" t="s">
        <v>773</v>
      </c>
      <c r="D53" t="s">
        <v>774</v>
      </c>
      <c r="E53" t="s">
        <v>775</v>
      </c>
      <c r="F53" t="s">
        <v>776</v>
      </c>
      <c r="H53" t="s">
        <v>777</v>
      </c>
      <c r="I53" t="s">
        <v>778</v>
      </c>
      <c r="K53" t="s">
        <v>779</v>
      </c>
      <c r="L53" t="s">
        <v>780</v>
      </c>
      <c r="M53" t="s">
        <v>525</v>
      </c>
      <c r="N53" t="s">
        <v>781</v>
      </c>
      <c r="O53" t="s">
        <v>782</v>
      </c>
    </row>
    <row r="54" spans="1:15" x14ac:dyDescent="0.25">
      <c r="A54" t="s">
        <v>783</v>
      </c>
      <c r="B54" t="s">
        <v>784</v>
      </c>
      <c r="C54" t="s">
        <v>785</v>
      </c>
      <c r="D54" t="s">
        <v>786</v>
      </c>
      <c r="E54" t="s">
        <v>787</v>
      </c>
      <c r="F54" t="s">
        <v>788</v>
      </c>
      <c r="G54" t="s">
        <v>330</v>
      </c>
      <c r="H54" t="s">
        <v>769</v>
      </c>
      <c r="I54" t="s">
        <v>789</v>
      </c>
      <c r="J54" t="s">
        <v>790</v>
      </c>
      <c r="K54" t="s">
        <v>791</v>
      </c>
      <c r="L54" t="s">
        <v>44</v>
      </c>
      <c r="M54" t="s">
        <v>752</v>
      </c>
      <c r="N54" t="s">
        <v>792</v>
      </c>
      <c r="O54" t="s">
        <v>793</v>
      </c>
    </row>
    <row r="55" spans="1:15" x14ac:dyDescent="0.25">
      <c r="A55" t="s">
        <v>794</v>
      </c>
      <c r="B55" t="s">
        <v>795</v>
      </c>
      <c r="C55" t="s">
        <v>796</v>
      </c>
      <c r="D55" t="s">
        <v>797</v>
      </c>
      <c r="E55" t="s">
        <v>798</v>
      </c>
      <c r="F55" t="s">
        <v>799</v>
      </c>
      <c r="G55" t="s">
        <v>799</v>
      </c>
      <c r="H55" t="s">
        <v>800</v>
      </c>
      <c r="I55" t="s">
        <v>801</v>
      </c>
      <c r="J55" t="s">
        <v>802</v>
      </c>
      <c r="K55" t="s">
        <v>803</v>
      </c>
      <c r="L55" t="s">
        <v>44</v>
      </c>
      <c r="M55" t="s">
        <v>752</v>
      </c>
      <c r="N55" t="s">
        <v>804</v>
      </c>
      <c r="O55" t="s">
        <v>805</v>
      </c>
    </row>
    <row r="56" spans="1:15" x14ac:dyDescent="0.25">
      <c r="A56" t="s">
        <v>806</v>
      </c>
      <c r="B56" t="s">
        <v>807</v>
      </c>
      <c r="C56" t="s">
        <v>808</v>
      </c>
      <c r="D56" t="s">
        <v>809</v>
      </c>
      <c r="E56" t="s">
        <v>810</v>
      </c>
      <c r="F56" t="s">
        <v>811</v>
      </c>
      <c r="H56" t="s">
        <v>812</v>
      </c>
      <c r="I56" t="s">
        <v>813</v>
      </c>
      <c r="J56" t="s">
        <v>814</v>
      </c>
      <c r="K56" t="s">
        <v>815</v>
      </c>
      <c r="L56" t="s">
        <v>816</v>
      </c>
      <c r="M56" t="s">
        <v>752</v>
      </c>
      <c r="N56" t="s">
        <v>817</v>
      </c>
      <c r="O56" t="s">
        <v>818</v>
      </c>
    </row>
    <row r="57" spans="1:15" x14ac:dyDescent="0.25">
      <c r="A57" t="s">
        <v>819</v>
      </c>
      <c r="B57" t="s">
        <v>820</v>
      </c>
      <c r="C57" t="s">
        <v>821</v>
      </c>
      <c r="D57" t="s">
        <v>797</v>
      </c>
      <c r="E57" t="s">
        <v>798</v>
      </c>
      <c r="F57" t="s">
        <v>799</v>
      </c>
      <c r="G57" t="s">
        <v>799</v>
      </c>
      <c r="H57" t="s">
        <v>822</v>
      </c>
      <c r="I57" t="s">
        <v>250</v>
      </c>
      <c r="J57" t="s">
        <v>823</v>
      </c>
      <c r="K57" t="s">
        <v>824</v>
      </c>
      <c r="L57" t="s">
        <v>825</v>
      </c>
      <c r="M57" t="s">
        <v>56</v>
      </c>
      <c r="N57" t="s">
        <v>826</v>
      </c>
      <c r="O57" t="s">
        <v>827</v>
      </c>
    </row>
    <row r="58" spans="1:15" x14ac:dyDescent="0.25">
      <c r="A58" t="s">
        <v>828</v>
      </c>
      <c r="B58" t="s">
        <v>722</v>
      </c>
      <c r="C58" t="s">
        <v>829</v>
      </c>
      <c r="D58" t="s">
        <v>724</v>
      </c>
      <c r="E58" t="s">
        <v>725</v>
      </c>
      <c r="F58" t="s">
        <v>726</v>
      </c>
      <c r="G58" t="s">
        <v>726</v>
      </c>
      <c r="H58" t="s">
        <v>356</v>
      </c>
      <c r="I58" t="s">
        <v>727</v>
      </c>
      <c r="J58" t="s">
        <v>830</v>
      </c>
      <c r="K58" t="s">
        <v>831</v>
      </c>
      <c r="L58" t="s">
        <v>323</v>
      </c>
      <c r="M58" t="s">
        <v>752</v>
      </c>
      <c r="N58" t="s">
        <v>361</v>
      </c>
      <c r="O58" t="s">
        <v>832</v>
      </c>
    </row>
    <row r="59" spans="1:15" x14ac:dyDescent="0.25">
      <c r="A59" t="s">
        <v>833</v>
      </c>
      <c r="B59" t="s">
        <v>275</v>
      </c>
      <c r="C59" t="s">
        <v>276</v>
      </c>
      <c r="D59" t="s">
        <v>277</v>
      </c>
      <c r="E59" t="s">
        <v>834</v>
      </c>
      <c r="F59" t="s">
        <v>835</v>
      </c>
      <c r="G59" t="s">
        <v>280</v>
      </c>
      <c r="H59" t="s">
        <v>836</v>
      </c>
      <c r="I59" t="s">
        <v>282</v>
      </c>
      <c r="J59" t="s">
        <v>837</v>
      </c>
      <c r="K59" t="s">
        <v>284</v>
      </c>
      <c r="L59" t="s">
        <v>285</v>
      </c>
      <c r="M59" t="s">
        <v>752</v>
      </c>
      <c r="N59" t="s">
        <v>838</v>
      </c>
      <c r="O59" t="s">
        <v>839</v>
      </c>
    </row>
    <row r="60" spans="1:15" x14ac:dyDescent="0.25">
      <c r="A60" t="s">
        <v>840</v>
      </c>
      <c r="B60" t="s">
        <v>841</v>
      </c>
      <c r="C60" t="s">
        <v>842</v>
      </c>
      <c r="D60" t="s">
        <v>843</v>
      </c>
      <c r="E60" t="s">
        <v>844</v>
      </c>
      <c r="F60" t="s">
        <v>811</v>
      </c>
      <c r="H60" t="s">
        <v>306</v>
      </c>
      <c r="J60" t="s">
        <v>845</v>
      </c>
      <c r="K60" t="s">
        <v>846</v>
      </c>
      <c r="L60" t="s">
        <v>253</v>
      </c>
      <c r="M60" t="s">
        <v>56</v>
      </c>
      <c r="N60" t="s">
        <v>847</v>
      </c>
      <c r="O60" t="s">
        <v>848</v>
      </c>
    </row>
    <row r="61" spans="1:15" x14ac:dyDescent="0.25">
      <c r="A61" t="s">
        <v>849</v>
      </c>
      <c r="B61" t="s">
        <v>850</v>
      </c>
      <c r="D61" t="s">
        <v>851</v>
      </c>
      <c r="F61" t="s">
        <v>852</v>
      </c>
      <c r="G61" t="s">
        <v>852</v>
      </c>
      <c r="H61" t="s">
        <v>853</v>
      </c>
      <c r="I61" t="s">
        <v>854</v>
      </c>
      <c r="J61" t="s">
        <v>855</v>
      </c>
      <c r="K61" t="s">
        <v>856</v>
      </c>
      <c r="L61" t="s">
        <v>857</v>
      </c>
      <c r="M61" t="s">
        <v>525</v>
      </c>
      <c r="N61" t="s">
        <v>858</v>
      </c>
      <c r="O61" t="s">
        <v>859</v>
      </c>
    </row>
    <row r="62" spans="1:15" x14ac:dyDescent="0.25">
      <c r="A62" t="s">
        <v>860</v>
      </c>
      <c r="B62" t="s">
        <v>732</v>
      </c>
      <c r="C62" t="s">
        <v>733</v>
      </c>
      <c r="D62" t="s">
        <v>861</v>
      </c>
      <c r="E62" t="s">
        <v>862</v>
      </c>
      <c r="F62" t="s">
        <v>863</v>
      </c>
      <c r="G62" t="s">
        <v>864</v>
      </c>
      <c r="H62" t="s">
        <v>738</v>
      </c>
      <c r="I62" t="s">
        <v>865</v>
      </c>
      <c r="J62" t="s">
        <v>740</v>
      </c>
      <c r="K62" t="s">
        <v>741</v>
      </c>
      <c r="L62" t="s">
        <v>323</v>
      </c>
      <c r="M62" t="s">
        <v>752</v>
      </c>
      <c r="N62" t="s">
        <v>866</v>
      </c>
      <c r="O62" t="s">
        <v>867</v>
      </c>
    </row>
    <row r="63" spans="1:15" x14ac:dyDescent="0.25">
      <c r="A63" t="s">
        <v>868</v>
      </c>
      <c r="B63" t="s">
        <v>869</v>
      </c>
      <c r="D63" t="s">
        <v>870</v>
      </c>
      <c r="E63" t="s">
        <v>871</v>
      </c>
      <c r="F63" t="s">
        <v>872</v>
      </c>
      <c r="G63" t="s">
        <v>872</v>
      </c>
      <c r="H63" t="s">
        <v>873</v>
      </c>
      <c r="I63" t="s">
        <v>874</v>
      </c>
      <c r="K63" t="s">
        <v>875</v>
      </c>
      <c r="L63" t="s">
        <v>876</v>
      </c>
      <c r="M63" t="s">
        <v>752</v>
      </c>
      <c r="N63" t="s">
        <v>877</v>
      </c>
      <c r="O63" t="s">
        <v>878</v>
      </c>
    </row>
    <row r="64" spans="1:15" x14ac:dyDescent="0.25">
      <c r="A64" t="s">
        <v>879</v>
      </c>
      <c r="B64" t="s">
        <v>880</v>
      </c>
      <c r="D64" t="s">
        <v>881</v>
      </c>
      <c r="E64" t="s">
        <v>882</v>
      </c>
      <c r="F64" t="s">
        <v>883</v>
      </c>
      <c r="G64" t="s">
        <v>883</v>
      </c>
      <c r="H64" t="s">
        <v>884</v>
      </c>
      <c r="I64" t="s">
        <v>885</v>
      </c>
      <c r="K64" t="s">
        <v>886</v>
      </c>
      <c r="L64" t="s">
        <v>887</v>
      </c>
      <c r="M64" t="s">
        <v>536</v>
      </c>
      <c r="N64" t="s">
        <v>888</v>
      </c>
      <c r="O64" t="s">
        <v>889</v>
      </c>
    </row>
    <row r="65" spans="1:15" x14ac:dyDescent="0.25">
      <c r="A65" t="s">
        <v>890</v>
      </c>
      <c r="B65" t="s">
        <v>891</v>
      </c>
      <c r="C65" t="s">
        <v>892</v>
      </c>
      <c r="D65" t="s">
        <v>774</v>
      </c>
      <c r="E65" t="s">
        <v>775</v>
      </c>
      <c r="F65" t="s">
        <v>776</v>
      </c>
      <c r="G65" t="s">
        <v>776</v>
      </c>
      <c r="H65" t="s">
        <v>893</v>
      </c>
      <c r="I65" t="s">
        <v>894</v>
      </c>
      <c r="J65" t="s">
        <v>895</v>
      </c>
      <c r="K65" t="s">
        <v>896</v>
      </c>
      <c r="L65" t="s">
        <v>87</v>
      </c>
      <c r="M65" t="s">
        <v>88</v>
      </c>
      <c r="N65" t="s">
        <v>897</v>
      </c>
      <c r="O65" t="s">
        <v>898</v>
      </c>
    </row>
    <row r="66" spans="1:15" x14ac:dyDescent="0.25">
      <c r="A66" t="s">
        <v>899</v>
      </c>
      <c r="B66" t="s">
        <v>900</v>
      </c>
      <c r="C66" t="s">
        <v>901</v>
      </c>
      <c r="D66" t="s">
        <v>881</v>
      </c>
      <c r="E66" t="s">
        <v>882</v>
      </c>
      <c r="F66" t="s">
        <v>883</v>
      </c>
      <c r="G66" t="s">
        <v>883</v>
      </c>
      <c r="H66" t="s">
        <v>306</v>
      </c>
      <c r="I66" t="s">
        <v>902</v>
      </c>
      <c r="J66" t="s">
        <v>903</v>
      </c>
      <c r="K66" t="s">
        <v>904</v>
      </c>
      <c r="L66" t="s">
        <v>905</v>
      </c>
      <c r="M66" t="s">
        <v>56</v>
      </c>
      <c r="N66" t="s">
        <v>906</v>
      </c>
      <c r="O66" t="s">
        <v>907</v>
      </c>
    </row>
    <row r="67" spans="1:15" x14ac:dyDescent="0.25">
      <c r="A67" t="s">
        <v>908</v>
      </c>
      <c r="B67" t="s">
        <v>909</v>
      </c>
      <c r="H67" t="s">
        <v>910</v>
      </c>
      <c r="I67" t="s">
        <v>813</v>
      </c>
      <c r="J67" t="s">
        <v>911</v>
      </c>
      <c r="K67" t="s">
        <v>912</v>
      </c>
      <c r="L67" t="s">
        <v>913</v>
      </c>
      <c r="M67" t="s">
        <v>43</v>
      </c>
      <c r="N67" t="s">
        <v>914</v>
      </c>
      <c r="O67" t="s">
        <v>915</v>
      </c>
    </row>
    <row r="68" spans="1:15" x14ac:dyDescent="0.25">
      <c r="A68" t="s">
        <v>916</v>
      </c>
      <c r="B68" t="s">
        <v>917</v>
      </c>
      <c r="C68" t="s">
        <v>918</v>
      </c>
      <c r="D68" t="s">
        <v>919</v>
      </c>
      <c r="E68" t="s">
        <v>62</v>
      </c>
      <c r="F68" t="s">
        <v>66</v>
      </c>
      <c r="G68" t="s">
        <v>66</v>
      </c>
      <c r="H68" t="s">
        <v>920</v>
      </c>
      <c r="I68" t="s">
        <v>921</v>
      </c>
      <c r="J68" t="s">
        <v>922</v>
      </c>
      <c r="K68" t="s">
        <v>923</v>
      </c>
      <c r="L68" t="s">
        <v>924</v>
      </c>
      <c r="M68" t="s">
        <v>752</v>
      </c>
      <c r="N68" t="s">
        <v>925</v>
      </c>
      <c r="O68" t="s">
        <v>926</v>
      </c>
    </row>
    <row r="69" spans="1:15" x14ac:dyDescent="0.25">
      <c r="A69" t="s">
        <v>927</v>
      </c>
      <c r="B69" t="s">
        <v>928</v>
      </c>
      <c r="C69" t="s">
        <v>929</v>
      </c>
      <c r="D69" t="s">
        <v>930</v>
      </c>
      <c r="E69" t="s">
        <v>931</v>
      </c>
      <c r="H69" t="s">
        <v>932</v>
      </c>
      <c r="I69" t="s">
        <v>933</v>
      </c>
      <c r="K69" t="s">
        <v>934</v>
      </c>
      <c r="L69" t="s">
        <v>323</v>
      </c>
      <c r="M69" t="s">
        <v>752</v>
      </c>
      <c r="N69" t="s">
        <v>935</v>
      </c>
      <c r="O69" t="s">
        <v>936</v>
      </c>
    </row>
    <row r="70" spans="1:15" x14ac:dyDescent="0.25">
      <c r="A70" t="s">
        <v>937</v>
      </c>
      <c r="B70" t="s">
        <v>938</v>
      </c>
      <c r="C70" t="s">
        <v>939</v>
      </c>
      <c r="D70" t="s">
        <v>940</v>
      </c>
      <c r="E70" t="s">
        <v>941</v>
      </c>
      <c r="F70" t="s">
        <v>942</v>
      </c>
      <c r="G70" t="s">
        <v>942</v>
      </c>
      <c r="H70" t="s">
        <v>943</v>
      </c>
      <c r="I70" t="s">
        <v>944</v>
      </c>
      <c r="J70" t="s">
        <v>268</v>
      </c>
      <c r="K70" t="s">
        <v>945</v>
      </c>
      <c r="L70" t="s">
        <v>323</v>
      </c>
      <c r="M70" t="s">
        <v>752</v>
      </c>
      <c r="N70" t="s">
        <v>946</v>
      </c>
      <c r="O70" t="s">
        <v>947</v>
      </c>
    </row>
    <row r="71" spans="1:15" x14ac:dyDescent="0.25">
      <c r="A71" t="s">
        <v>948</v>
      </c>
      <c r="B71" t="s">
        <v>949</v>
      </c>
      <c r="C71" t="s">
        <v>950</v>
      </c>
      <c r="D71" t="s">
        <v>930</v>
      </c>
      <c r="E71" t="s">
        <v>931</v>
      </c>
      <c r="H71" t="s">
        <v>951</v>
      </c>
      <c r="I71" t="s">
        <v>952</v>
      </c>
      <c r="J71" t="s">
        <v>953</v>
      </c>
      <c r="K71" t="s">
        <v>954</v>
      </c>
      <c r="L71" t="s">
        <v>360</v>
      </c>
      <c r="M71" t="s">
        <v>752</v>
      </c>
      <c r="N71" t="s">
        <v>955</v>
      </c>
      <c r="O71" t="s">
        <v>956</v>
      </c>
    </row>
    <row r="72" spans="1:15" x14ac:dyDescent="0.25">
      <c r="A72" t="s">
        <v>957</v>
      </c>
      <c r="B72" t="s">
        <v>958</v>
      </c>
      <c r="C72" t="s">
        <v>959</v>
      </c>
      <c r="D72" t="s">
        <v>960</v>
      </c>
      <c r="E72" t="s">
        <v>961</v>
      </c>
      <c r="F72" t="s">
        <v>962</v>
      </c>
      <c r="G72" t="s">
        <v>963</v>
      </c>
      <c r="H72" t="s">
        <v>964</v>
      </c>
      <c r="I72" t="s">
        <v>965</v>
      </c>
      <c r="J72" t="s">
        <v>966</v>
      </c>
      <c r="K72" t="s">
        <v>967</v>
      </c>
      <c r="L72" t="s">
        <v>968</v>
      </c>
      <c r="M72" t="s">
        <v>752</v>
      </c>
      <c r="N72" t="s">
        <v>969</v>
      </c>
      <c r="O72" t="s">
        <v>970</v>
      </c>
    </row>
    <row r="73" spans="1:15" x14ac:dyDescent="0.25">
      <c r="A73" t="s">
        <v>971</v>
      </c>
      <c r="B73" t="s">
        <v>972</v>
      </c>
      <c r="C73" t="s">
        <v>973</v>
      </c>
      <c r="D73" t="s">
        <v>974</v>
      </c>
      <c r="E73" t="s">
        <v>975</v>
      </c>
      <c r="F73" t="s">
        <v>976</v>
      </c>
      <c r="G73" t="s">
        <v>977</v>
      </c>
      <c r="H73" t="s">
        <v>978</v>
      </c>
      <c r="I73" t="s">
        <v>979</v>
      </c>
      <c r="J73" t="s">
        <v>980</v>
      </c>
      <c r="K73" t="s">
        <v>981</v>
      </c>
      <c r="L73" t="s">
        <v>982</v>
      </c>
      <c r="M73" t="s">
        <v>271</v>
      </c>
      <c r="N73" t="s">
        <v>983</v>
      </c>
      <c r="O73" t="s">
        <v>984</v>
      </c>
    </row>
    <row r="74" spans="1:15" x14ac:dyDescent="0.25">
      <c r="A74" t="s">
        <v>985</v>
      </c>
      <c r="B74" t="s">
        <v>986</v>
      </c>
      <c r="C74" t="s">
        <v>987</v>
      </c>
      <c r="D74" t="s">
        <v>988</v>
      </c>
      <c r="E74" t="s">
        <v>989</v>
      </c>
      <c r="F74" t="s">
        <v>990</v>
      </c>
      <c r="G74" t="s">
        <v>990</v>
      </c>
      <c r="H74" t="s">
        <v>991</v>
      </c>
      <c r="I74" t="s">
        <v>992</v>
      </c>
      <c r="J74" t="s">
        <v>993</v>
      </c>
      <c r="K74" t="s">
        <v>994</v>
      </c>
      <c r="L74" t="s">
        <v>253</v>
      </c>
      <c r="M74" t="s">
        <v>56</v>
      </c>
      <c r="N74" t="s">
        <v>995</v>
      </c>
      <c r="O74" t="s">
        <v>996</v>
      </c>
    </row>
    <row r="75" spans="1:15" x14ac:dyDescent="0.25">
      <c r="A75" t="s">
        <v>997</v>
      </c>
      <c r="B75" t="s">
        <v>998</v>
      </c>
      <c r="C75" t="s">
        <v>999</v>
      </c>
      <c r="D75" t="s">
        <v>774</v>
      </c>
      <c r="E75" t="s">
        <v>1000</v>
      </c>
      <c r="F75" t="s">
        <v>1001</v>
      </c>
      <c r="G75" t="s">
        <v>1001</v>
      </c>
      <c r="H75" t="s">
        <v>1002</v>
      </c>
      <c r="I75" t="s">
        <v>894</v>
      </c>
      <c r="J75" t="s">
        <v>1003</v>
      </c>
      <c r="K75" t="s">
        <v>904</v>
      </c>
      <c r="L75" t="s">
        <v>905</v>
      </c>
      <c r="M75" t="s">
        <v>1004</v>
      </c>
      <c r="N75" t="s">
        <v>1005</v>
      </c>
      <c r="O75" t="s">
        <v>1006</v>
      </c>
    </row>
    <row r="76" spans="1:15" x14ac:dyDescent="0.25">
      <c r="A76" t="s">
        <v>1007</v>
      </c>
      <c r="B76" t="s">
        <v>1008</v>
      </c>
      <c r="C76" t="s">
        <v>1009</v>
      </c>
      <c r="D76" t="s">
        <v>1010</v>
      </c>
      <c r="E76" t="s">
        <v>1011</v>
      </c>
      <c r="F76" t="s">
        <v>1012</v>
      </c>
      <c r="G76" t="s">
        <v>1013</v>
      </c>
      <c r="H76" t="s">
        <v>1014</v>
      </c>
      <c r="I76" t="s">
        <v>1015</v>
      </c>
      <c r="J76" t="s">
        <v>1016</v>
      </c>
      <c r="K76" t="s">
        <v>954</v>
      </c>
      <c r="L76" t="s">
        <v>360</v>
      </c>
      <c r="M76" t="s">
        <v>43</v>
      </c>
      <c r="N76" t="s">
        <v>955</v>
      </c>
      <c r="O76" t="s">
        <v>1017</v>
      </c>
    </row>
    <row r="77" spans="1:15" x14ac:dyDescent="0.25">
      <c r="A77" t="s">
        <v>1018</v>
      </c>
      <c r="B77" t="s">
        <v>1019</v>
      </c>
      <c r="C77" t="s">
        <v>1020</v>
      </c>
      <c r="D77" t="s">
        <v>1021</v>
      </c>
      <c r="E77" t="s">
        <v>1022</v>
      </c>
      <c r="F77" t="s">
        <v>1023</v>
      </c>
      <c r="G77" t="s">
        <v>1023</v>
      </c>
      <c r="H77" t="s">
        <v>1024</v>
      </c>
      <c r="I77" t="s">
        <v>1025</v>
      </c>
      <c r="J77" t="s">
        <v>1026</v>
      </c>
      <c r="K77" t="s">
        <v>1027</v>
      </c>
      <c r="L77" t="s">
        <v>360</v>
      </c>
      <c r="M77" t="s">
        <v>43</v>
      </c>
      <c r="N77" t="s">
        <v>1028</v>
      </c>
      <c r="O77" t="s">
        <v>1029</v>
      </c>
    </row>
    <row r="78" spans="1:15" x14ac:dyDescent="0.25">
      <c r="A78" t="s">
        <v>997</v>
      </c>
      <c r="B78" t="s">
        <v>998</v>
      </c>
      <c r="C78" t="s">
        <v>999</v>
      </c>
      <c r="D78" t="s">
        <v>774</v>
      </c>
      <c r="E78" t="s">
        <v>1000</v>
      </c>
      <c r="F78" t="s">
        <v>1030</v>
      </c>
      <c r="G78" t="s">
        <v>1030</v>
      </c>
      <c r="H78" t="s">
        <v>1031</v>
      </c>
      <c r="I78" t="s">
        <v>1032</v>
      </c>
      <c r="J78" t="s">
        <v>1033</v>
      </c>
      <c r="K78" t="s">
        <v>1034</v>
      </c>
      <c r="L78" t="s">
        <v>1035</v>
      </c>
      <c r="M78" t="s">
        <v>56</v>
      </c>
      <c r="N78" t="s">
        <v>1036</v>
      </c>
      <c r="O78" t="s">
        <v>1037</v>
      </c>
    </row>
    <row r="79" spans="1:15" x14ac:dyDescent="0.25">
      <c r="A79" t="s">
        <v>1038</v>
      </c>
      <c r="B79" t="s">
        <v>1039</v>
      </c>
      <c r="C79" t="s">
        <v>1040</v>
      </c>
      <c r="D79" t="s">
        <v>1041</v>
      </c>
      <c r="E79" t="s">
        <v>1041</v>
      </c>
      <c r="F79" t="s">
        <v>1042</v>
      </c>
      <c r="G79" t="s">
        <v>1042</v>
      </c>
      <c r="H79" t="s">
        <v>1043</v>
      </c>
      <c r="I79" t="s">
        <v>1044</v>
      </c>
      <c r="J79" t="s">
        <v>1045</v>
      </c>
      <c r="K79" t="s">
        <v>1046</v>
      </c>
      <c r="L79" t="s">
        <v>44</v>
      </c>
      <c r="M79" t="s">
        <v>43</v>
      </c>
      <c r="N79" t="s">
        <v>792</v>
      </c>
      <c r="O79" t="s">
        <v>1047</v>
      </c>
    </row>
    <row r="80" spans="1:15" x14ac:dyDescent="0.25">
      <c r="A80" t="s">
        <v>1048</v>
      </c>
      <c r="B80" t="s">
        <v>1049</v>
      </c>
      <c r="C80" t="s">
        <v>1050</v>
      </c>
      <c r="D80" t="s">
        <v>1051</v>
      </c>
      <c r="E80" t="s">
        <v>1052</v>
      </c>
      <c r="F80" t="s">
        <v>1053</v>
      </c>
      <c r="G80" t="s">
        <v>1053</v>
      </c>
      <c r="H80" t="s">
        <v>1054</v>
      </c>
      <c r="I80" t="s">
        <v>1055</v>
      </c>
      <c r="J80" t="s">
        <v>1056</v>
      </c>
      <c r="K80" t="s">
        <v>1057</v>
      </c>
      <c r="L80" t="s">
        <v>968</v>
      </c>
      <c r="M80" t="s">
        <v>43</v>
      </c>
      <c r="N80" t="s">
        <v>1058</v>
      </c>
      <c r="O80" t="s">
        <v>1059</v>
      </c>
    </row>
    <row r="81" spans="1:15" x14ac:dyDescent="0.25">
      <c r="A81" t="s">
        <v>1060</v>
      </c>
      <c r="B81" t="s">
        <v>1049</v>
      </c>
      <c r="C81" t="s">
        <v>1050</v>
      </c>
      <c r="D81" t="s">
        <v>1051</v>
      </c>
      <c r="E81" t="s">
        <v>1052</v>
      </c>
      <c r="F81" t="s">
        <v>1053</v>
      </c>
      <c r="G81" t="s">
        <v>1053</v>
      </c>
      <c r="H81" t="s">
        <v>1061</v>
      </c>
      <c r="I81" t="s">
        <v>1062</v>
      </c>
      <c r="J81" t="s">
        <v>1063</v>
      </c>
      <c r="K81" t="s">
        <v>1057</v>
      </c>
      <c r="L81" t="s">
        <v>968</v>
      </c>
      <c r="M81" t="s">
        <v>43</v>
      </c>
      <c r="N81" t="s">
        <v>1064</v>
      </c>
      <c r="O81" t="s">
        <v>1059</v>
      </c>
    </row>
    <row r="82" spans="1:15" x14ac:dyDescent="0.25">
      <c r="A82" t="s">
        <v>1065</v>
      </c>
      <c r="B82" t="s">
        <v>1066</v>
      </c>
      <c r="C82" t="s">
        <v>1067</v>
      </c>
      <c r="D82" t="s">
        <v>1068</v>
      </c>
      <c r="E82" t="s">
        <v>1069</v>
      </c>
      <c r="F82" t="s">
        <v>1070</v>
      </c>
      <c r="G82" t="s">
        <v>1071</v>
      </c>
      <c r="H82" t="s">
        <v>1072</v>
      </c>
      <c r="I82" t="s">
        <v>1073</v>
      </c>
      <c r="J82" t="s">
        <v>1074</v>
      </c>
      <c r="K82" t="s">
        <v>1075</v>
      </c>
      <c r="L82" t="s">
        <v>360</v>
      </c>
      <c r="M82" t="s">
        <v>43</v>
      </c>
      <c r="N82" t="s">
        <v>1076</v>
      </c>
      <c r="O82" t="s">
        <v>1077</v>
      </c>
    </row>
    <row r="83" spans="1:15" x14ac:dyDescent="0.25">
      <c r="A83" t="s">
        <v>1078</v>
      </c>
      <c r="B83" t="s">
        <v>1079</v>
      </c>
      <c r="C83" t="s">
        <v>1080</v>
      </c>
      <c r="D83" t="s">
        <v>1068</v>
      </c>
      <c r="E83" t="s">
        <v>1069</v>
      </c>
      <c r="F83" t="s">
        <v>1070</v>
      </c>
      <c r="G83" t="s">
        <v>1071</v>
      </c>
      <c r="H83" t="s">
        <v>1081</v>
      </c>
      <c r="I83" t="s">
        <v>1073</v>
      </c>
      <c r="J83" t="s">
        <v>96</v>
      </c>
      <c r="K83" t="s">
        <v>1082</v>
      </c>
      <c r="L83" t="s">
        <v>360</v>
      </c>
      <c r="M83" t="s">
        <v>43</v>
      </c>
      <c r="N83" t="s">
        <v>1076</v>
      </c>
      <c r="O83" t="s">
        <v>1083</v>
      </c>
    </row>
    <row r="84" spans="1:15" x14ac:dyDescent="0.25">
      <c r="A84" t="s">
        <v>1084</v>
      </c>
      <c r="B84" t="s">
        <v>1085</v>
      </c>
      <c r="C84" t="s">
        <v>1086</v>
      </c>
      <c r="D84" t="s">
        <v>1087</v>
      </c>
      <c r="E84" t="s">
        <v>1088</v>
      </c>
      <c r="F84" t="s">
        <v>1089</v>
      </c>
      <c r="G84" t="s">
        <v>1090</v>
      </c>
      <c r="H84" t="s">
        <v>1091</v>
      </c>
      <c r="I84" t="s">
        <v>1073</v>
      </c>
      <c r="J84" t="s">
        <v>1092</v>
      </c>
      <c r="K84" t="s">
        <v>1093</v>
      </c>
      <c r="L84" t="s">
        <v>360</v>
      </c>
      <c r="M84" t="s">
        <v>43</v>
      </c>
      <c r="N84" t="s">
        <v>1094</v>
      </c>
      <c r="O84" t="s">
        <v>1095</v>
      </c>
    </row>
    <row r="85" spans="1:15" x14ac:dyDescent="0.25">
      <c r="A85" t="s">
        <v>1096</v>
      </c>
      <c r="B85" t="s">
        <v>1097</v>
      </c>
      <c r="C85" t="s">
        <v>1098</v>
      </c>
      <c r="H85" t="s">
        <v>1099</v>
      </c>
      <c r="I85" t="s">
        <v>1100</v>
      </c>
      <c r="J85" t="s">
        <v>1101</v>
      </c>
      <c r="K85" t="s">
        <v>1102</v>
      </c>
      <c r="L85" t="s">
        <v>360</v>
      </c>
      <c r="M85" t="s">
        <v>43</v>
      </c>
      <c r="N85" t="s">
        <v>1103</v>
      </c>
      <c r="O85" t="s">
        <v>1104</v>
      </c>
    </row>
    <row r="86" spans="1:15" x14ac:dyDescent="0.25">
      <c r="A86" t="s">
        <v>1105</v>
      </c>
      <c r="B86" t="s">
        <v>1106</v>
      </c>
      <c r="C86" t="s">
        <v>1107</v>
      </c>
      <c r="D86" t="s">
        <v>1108</v>
      </c>
      <c r="H86" t="s">
        <v>1109</v>
      </c>
      <c r="I86" t="s">
        <v>1110</v>
      </c>
      <c r="J86" t="s">
        <v>1111</v>
      </c>
      <c r="K86" t="s">
        <v>1112</v>
      </c>
      <c r="L86" t="s">
        <v>323</v>
      </c>
      <c r="M86" t="s">
        <v>43</v>
      </c>
      <c r="N86" t="s">
        <v>1113</v>
      </c>
      <c r="O86" t="s">
        <v>1114</v>
      </c>
    </row>
    <row r="87" spans="1:15" x14ac:dyDescent="0.25">
      <c r="A87" t="s">
        <v>1115</v>
      </c>
      <c r="B87" t="s">
        <v>1116</v>
      </c>
      <c r="C87" t="s">
        <v>1117</v>
      </c>
      <c r="H87" t="s">
        <v>1118</v>
      </c>
      <c r="I87" t="s">
        <v>1119</v>
      </c>
      <c r="J87" t="s">
        <v>1120</v>
      </c>
      <c r="K87" t="s">
        <v>323</v>
      </c>
      <c r="L87" t="s">
        <v>323</v>
      </c>
      <c r="M87" t="s">
        <v>43</v>
      </c>
      <c r="N87" t="s">
        <v>1121</v>
      </c>
      <c r="O87" t="s">
        <v>1122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/>
  </sheetViews>
  <sheetFormatPr defaultRowHeight="15" outlineLevelRow="0" outlineLevelCol="0" x14ac:dyDescent="0"/>
  <sheetData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Ordem de Compra</vt:lpstr>
      <vt:lpstr>Familia</vt:lpstr>
      <vt:lpstr>Produtos</vt:lpstr>
      <vt:lpstr>Fornecedores 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Mauricio Santos da Mota</dc:creator>
  <dc:title/>
  <dc:subject/>
  <dc:description/>
  <cp:keywords/>
  <cp:category/>
  <cp:lastModifiedBy>Kezia Pereira</cp:lastModifiedBy>
  <cp:contentStatus/>
  <dcterms:created xsi:type="dcterms:W3CDTF">2023-07-27T19:05:25Z</dcterms:created>
  <dcterms:modified xsi:type="dcterms:W3CDTF">2026-07-30T13:32:23Z</dcterms:modified>
</cp:coreProperties>
</file>